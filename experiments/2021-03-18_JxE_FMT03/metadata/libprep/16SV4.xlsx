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yiming/Dropbox/Protocols/"/>
    </mc:Choice>
  </mc:AlternateContent>
  <xr:revisionPtr revIDLastSave="0" documentId="13_ncr:1_{693B44C9-31B2-B04C-AA54-A32FF9B18AB5}" xr6:coauthVersionLast="46" xr6:coauthVersionMax="46" xr10:uidLastSave="{00000000-0000-0000-0000-000000000000}"/>
  <bookViews>
    <workbookView xWindow="2700" yWindow="5080" windowWidth="28800" windowHeight="16080" activeTab="1" xr2:uid="{E47DCF59-DBB6-714D-B9A3-62C68580BEB7}"/>
  </bookViews>
  <sheets>
    <sheet name="adapter structure" sheetId="1" r:id="rId1"/>
    <sheet name="adapter index" sheetId="2" r:id="rId2"/>
  </sheets>
  <definedNames>
    <definedName name="tmp" localSheetId="1">'adapter index'!$K$2:$O$17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2" l="1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F51" i="2"/>
  <c r="J52" i="2" l="1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5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5E0A1-0F29-7F43-A5CA-BD536CF18FE3}" name="tmp" type="6" refreshedVersion="6" background="1" saveData="1">
    <textPr sourceFile="/Users/huangyiming/Desktop/tmp.txt" delimited="0">
      <textFields count="5">
        <textField/>
        <textField position="7"/>
        <textField position="18"/>
        <textField position="29"/>
        <textField position="40"/>
      </textFields>
    </textPr>
  </connection>
</connections>
</file>

<file path=xl/sharedStrings.xml><?xml version="1.0" encoding="utf-8"?>
<sst xmlns="http://schemas.openxmlformats.org/spreadsheetml/2006/main" count="506" uniqueCount="426">
  <si>
    <t>rs_16SCHIP_501</t>
  </si>
  <si>
    <t>rs_16SCHIP_700</t>
  </si>
  <si>
    <t>16Sr_701</t>
  </si>
  <si>
    <t>16Sf_501</t>
  </si>
  <si>
    <t>GACTGGAGTTCAGACGTGTGCTCTTCCGATCT   AGTCAGTCAG  CC  GGACTACNVGGGT</t>
  </si>
  <si>
    <t>ACACTCTTTCCCTACACGACGCTCTTCCGATCT  TAGATCGC TATGGTAATT  GT  GTGYC AGC</t>
  </si>
  <si>
    <t>TAAGGCGA</t>
  </si>
  <si>
    <t>TAGATCGC</t>
  </si>
  <si>
    <t>16Sr_7XX</t>
  </si>
  <si>
    <t>CAAGCAGAAGACGGCATACGAGAT  XXXXXXXX  AGTCAGTCAG  CC  GGACTACNVGGGT</t>
  </si>
  <si>
    <t>Base in adapter</t>
  </si>
  <si>
    <t>Base in Nextseq</t>
  </si>
  <si>
    <t>16Sr_702</t>
  </si>
  <si>
    <t>16Sr_703</t>
  </si>
  <si>
    <t>Base in Miseq</t>
  </si>
  <si>
    <t xml:space="preserve">TCGCCTTA </t>
  </si>
  <si>
    <t>16Sf_5XX</t>
  </si>
  <si>
    <t>AATGATACGGCGACCACCGAGATCTACAC  XXXXXXXX  TATGGTAATTGTGTGYC  AGC</t>
  </si>
  <si>
    <t>CTAGTACG</t>
  </si>
  <si>
    <t>TTCTGCCT</t>
  </si>
  <si>
    <t>16Sr_704</t>
  </si>
  <si>
    <t>16Sr_705</t>
  </si>
  <si>
    <t>16Sr_706</t>
  </si>
  <si>
    <t>16Sr_707</t>
  </si>
  <si>
    <t>16Sr_708</t>
  </si>
  <si>
    <t>16Sr_709</t>
  </si>
  <si>
    <t>16Sr_710</t>
  </si>
  <si>
    <t>16Sr_711</t>
  </si>
  <si>
    <t>16Sr_712</t>
  </si>
  <si>
    <t>GCTCAGGA</t>
  </si>
  <si>
    <t>AGGAGTCC</t>
  </si>
  <si>
    <t>CATGCCTA</t>
  </si>
  <si>
    <t>GTAGAGAG</t>
  </si>
  <si>
    <t>CCTCTCTG</t>
  </si>
  <si>
    <t>AGCGTAGC</t>
  </si>
  <si>
    <t>CAGCCTCG</t>
  </si>
  <si>
    <t>TGCCTCTT</t>
  </si>
  <si>
    <t>TCCTCTAC</t>
  </si>
  <si>
    <t>16Sf_502</t>
  </si>
  <si>
    <t>16Sf_503</t>
  </si>
  <si>
    <t>16Sf_504</t>
  </si>
  <si>
    <t>16Sf_505</t>
  </si>
  <si>
    <t>16Sf_506</t>
  </si>
  <si>
    <t>16Sf_507</t>
  </si>
  <si>
    <t>16Sf_508</t>
  </si>
  <si>
    <t>CTCTCTAT</t>
  </si>
  <si>
    <t>TATCCTCT</t>
  </si>
  <si>
    <t>AGAGTAGA</t>
  </si>
  <si>
    <t>GTAAGGAG</t>
  </si>
  <si>
    <t>ACTGCATA</t>
  </si>
  <si>
    <t>AAGGAGTA</t>
  </si>
  <si>
    <t>CTAAGCCT</t>
  </si>
  <si>
    <t>Adapter</t>
  </si>
  <si>
    <t>CGTACTAG</t>
  </si>
  <si>
    <t>AGGCAGAA</t>
  </si>
  <si>
    <t>TCCTGAGC</t>
  </si>
  <si>
    <t>GGACTCCT</t>
  </si>
  <si>
    <t>TAGGCATG</t>
  </si>
  <si>
    <t>CTCTCTAC</t>
  </si>
  <si>
    <t>CAGAGAGG</t>
  </si>
  <si>
    <t>GCTACGCT</t>
  </si>
  <si>
    <t>CGAGGCTG</t>
  </si>
  <si>
    <t>AAGAGGCA</t>
  </si>
  <si>
    <t>GTAGAGGA</t>
  </si>
  <si>
    <t>GCGATCTA</t>
  </si>
  <si>
    <t>ATAGAGAG</t>
  </si>
  <si>
    <t>AGAGGATA</t>
  </si>
  <si>
    <t>TCTACTCT</t>
  </si>
  <si>
    <t>CTCCTTAC</t>
  </si>
  <si>
    <t>TATGCAGT</t>
  </si>
  <si>
    <t>TACTCCTT</t>
  </si>
  <si>
    <t>AGGCTTAG</t>
  </si>
  <si>
    <t>16S_read1</t>
  </si>
  <si>
    <t>TATGGTAATTGTGTGYCAGCMGCCGCGGTAA</t>
  </si>
  <si>
    <t>16S_read2</t>
  </si>
  <si>
    <t>AGTCAGTCAGCCGGACTACNVGGGTWTCTAAT</t>
  </si>
  <si>
    <t>16S_index1</t>
  </si>
  <si>
    <t>ATTAGAWACCCBNGTAGTCCGGCTGACTGACT</t>
  </si>
  <si>
    <t>16Sf_509</t>
  </si>
  <si>
    <t>16Sf_510</t>
  </si>
  <si>
    <t>16Sf_511</t>
  </si>
  <si>
    <t>16Sf_512</t>
  </si>
  <si>
    <t>GGCTACTC</t>
  </si>
  <si>
    <t>CCTCAGAC</t>
  </si>
  <si>
    <t>TCCTTACG</t>
  </si>
  <si>
    <t>ACGCGTGG</t>
  </si>
  <si>
    <t>GGAACTCC</t>
  </si>
  <si>
    <t>TGGCCATG</t>
  </si>
  <si>
    <t>GAGAGATT</t>
  </si>
  <si>
    <t>CGCGGTTA</t>
  </si>
  <si>
    <t>16Sf_513</t>
  </si>
  <si>
    <t>16Sf_514</t>
  </si>
  <si>
    <t>16Sf_515</t>
  </si>
  <si>
    <t>16Sf_516</t>
  </si>
  <si>
    <t>CTGAATTC</t>
  </si>
  <si>
    <t>CGTACCGG</t>
  </si>
  <si>
    <t>GATGACGG</t>
  </si>
  <si>
    <t>TATAGACG</t>
  </si>
  <si>
    <t>GTCATTGA</t>
  </si>
  <si>
    <t>GCATCGTT</t>
  </si>
  <si>
    <t>AGGTTGAC</t>
  </si>
  <si>
    <t>TGAAACTG</t>
  </si>
  <si>
    <t>16Sf_517</t>
  </si>
  <si>
    <t>16Sf_518</t>
  </si>
  <si>
    <t>16Sf_519</t>
  </si>
  <si>
    <t>16Sf_520</t>
  </si>
  <si>
    <t>16Sf_521</t>
  </si>
  <si>
    <t>16Sf_522</t>
  </si>
  <si>
    <t>16Sf_523</t>
  </si>
  <si>
    <t>16Sf_524</t>
  </si>
  <si>
    <t>16Sf_525</t>
  </si>
  <si>
    <t>16Sf_526</t>
  </si>
  <si>
    <t>16Sf_527</t>
  </si>
  <si>
    <t>16Sf_528</t>
  </si>
  <si>
    <t>16Sf_529</t>
  </si>
  <si>
    <t>16Sf_530</t>
  </si>
  <si>
    <t>16Sf_531</t>
  </si>
  <si>
    <t>16Sf_532</t>
  </si>
  <si>
    <t>GACCGCCA</t>
  </si>
  <si>
    <t>TAAGATGG</t>
  </si>
  <si>
    <t>ATTGACAT</t>
  </si>
  <si>
    <t>AGCCAACT</t>
  </si>
  <si>
    <t>TACTAGGT</t>
  </si>
  <si>
    <t>TCACGGTT</t>
  </si>
  <si>
    <t>TGTAATGA</t>
  </si>
  <si>
    <t>CACGTCAG</t>
  </si>
  <si>
    <t>16Sr_713</t>
  </si>
  <si>
    <t>16Sr_714</t>
  </si>
  <si>
    <t>16Sr_715</t>
  </si>
  <si>
    <t>16Sr_716</t>
  </si>
  <si>
    <t>16Sr_717</t>
  </si>
  <si>
    <t>16Sr_718</t>
  </si>
  <si>
    <t>16Sr_719</t>
  </si>
  <si>
    <t>16Sr_720</t>
  </si>
  <si>
    <t>16Sr_721</t>
  </si>
  <si>
    <t>16Sr_722</t>
  </si>
  <si>
    <t>16Sr_723</t>
  </si>
  <si>
    <t>16Sr_724</t>
  </si>
  <si>
    <t>16Sr_725</t>
  </si>
  <si>
    <t>16Sr_726</t>
  </si>
  <si>
    <t>16Sr_727</t>
  </si>
  <si>
    <t>16Sr_728</t>
  </si>
  <si>
    <t>16Sr_729</t>
  </si>
  <si>
    <t>16Sr_730</t>
  </si>
  <si>
    <t>16Sr_731</t>
  </si>
  <si>
    <t>16Sr_732</t>
  </si>
  <si>
    <t>16Sr_733</t>
  </si>
  <si>
    <t>16Sr_734</t>
  </si>
  <si>
    <t>16Sr_735</t>
  </si>
  <si>
    <t>16Sr_736</t>
  </si>
  <si>
    <t>16Sr_737</t>
  </si>
  <si>
    <t>16Sr_738</t>
  </si>
  <si>
    <t>16Sr_739</t>
  </si>
  <si>
    <t>16Sr_740</t>
  </si>
  <si>
    <t>16Sr_741</t>
  </si>
  <si>
    <t>16Sr_742</t>
  </si>
  <si>
    <t>16Sr_743</t>
  </si>
  <si>
    <t>16Sr_744</t>
  </si>
  <si>
    <t>16Sr_745</t>
  </si>
  <si>
    <t>16Sr_746</t>
  </si>
  <si>
    <t>16Sr_747</t>
  </si>
  <si>
    <t>16Sr_748</t>
  </si>
  <si>
    <t>ATTGTAAT</t>
  </si>
  <si>
    <t>GATCATTC</t>
  </si>
  <si>
    <t>ACCGATCG</t>
  </si>
  <si>
    <t>CCGTTATT</t>
  </si>
  <si>
    <t>TTCTTCTA</t>
  </si>
  <si>
    <t>TACCTGAC</t>
  </si>
  <si>
    <t>AGGACCGC</t>
  </si>
  <si>
    <t>GTCCGATT</t>
  </si>
  <si>
    <t>CACGAGTT</t>
  </si>
  <si>
    <t>CCACGGCC</t>
  </si>
  <si>
    <t>ACATGTAA</t>
  </si>
  <si>
    <t>TGTTAACT</t>
  </si>
  <si>
    <t>CAGTATCG</t>
  </si>
  <si>
    <t>CGTCTCTA</t>
  </si>
  <si>
    <t>AGATGCCT</t>
  </si>
  <si>
    <t>GATTCTGC</t>
  </si>
  <si>
    <t>TTAGCGAG</t>
  </si>
  <si>
    <t>GTCCATGT</t>
  </si>
  <si>
    <t>GCTCACAT</t>
  </si>
  <si>
    <t>CGTTGAAC</t>
  </si>
  <si>
    <t>GTCATGCT</t>
  </si>
  <si>
    <t>TGGCTTAC</t>
  </si>
  <si>
    <t>CCGTATGT</t>
  </si>
  <si>
    <t>TCTGGAGA</t>
  </si>
  <si>
    <t>AGGTCTAC</t>
  </si>
  <si>
    <t>TCCGTACT</t>
  </si>
  <si>
    <t>GCGAACTA</t>
  </si>
  <si>
    <t>TCCGAATC</t>
  </si>
  <si>
    <t>AGGTCAGT</t>
  </si>
  <si>
    <t>AAGTGCTC</t>
  </si>
  <si>
    <t>GTAAGCAG</t>
  </si>
  <si>
    <t>ATGACGGT</t>
  </si>
  <si>
    <t>TGAGAGCA</t>
  </si>
  <si>
    <t>TCTGGTAC</t>
  </si>
  <si>
    <t>CGAATTGG</t>
  </si>
  <si>
    <t>ACATGACC</t>
  </si>
  <si>
    <t>ATTACAAT</t>
  </si>
  <si>
    <t>GAATGATC</t>
  </si>
  <si>
    <t>CGATCGGT</t>
  </si>
  <si>
    <t>AATAACGG</t>
  </si>
  <si>
    <t>TAGAAGAA</t>
  </si>
  <si>
    <t>GTCAGGTA</t>
  </si>
  <si>
    <t>GCGGTCCT</t>
  </si>
  <si>
    <t>AATCGGAC</t>
  </si>
  <si>
    <t>AACTCGTG</t>
  </si>
  <si>
    <t>GGCCGTGG</t>
  </si>
  <si>
    <t>TTACATGT</t>
  </si>
  <si>
    <t>AGTTAACA</t>
  </si>
  <si>
    <t>CGATACTG</t>
  </si>
  <si>
    <t>TAGAGACG</t>
  </si>
  <si>
    <t>AGGCATCT</t>
  </si>
  <si>
    <t>GCAGAATC</t>
  </si>
  <si>
    <t>CTCGCTAA</t>
  </si>
  <si>
    <t>ACATGGAC</t>
  </si>
  <si>
    <t>ATGTGAGC</t>
  </si>
  <si>
    <t>GTTCAACG</t>
  </si>
  <si>
    <t>AGCATGAC</t>
  </si>
  <si>
    <t>GTAAGCCA</t>
  </si>
  <si>
    <t>ACATACGG</t>
  </si>
  <si>
    <t>TCTCCAGA</t>
  </si>
  <si>
    <t>GTAGACCT</t>
  </si>
  <si>
    <t>AGTACGGA</t>
  </si>
  <si>
    <t>TAGTTCGC</t>
  </si>
  <si>
    <t>GATTCGGA</t>
  </si>
  <si>
    <t>ACTGACCT</t>
  </si>
  <si>
    <t>GAGCACTT</t>
  </si>
  <si>
    <t>CTGCTTAC</t>
  </si>
  <si>
    <t>ACCGTCAT</t>
  </si>
  <si>
    <t>TGCTCTCA</t>
  </si>
  <si>
    <t>GTACCAGA</t>
  </si>
  <si>
    <t>CCAATTCG</t>
  </si>
  <si>
    <t>GGTCATGT</t>
  </si>
  <si>
    <t>GAGTAGCC</t>
  </si>
  <si>
    <t>GTCTGAGG</t>
  </si>
  <si>
    <t>CGTAAGGA</t>
  </si>
  <si>
    <t>CCACGCGT</t>
  </si>
  <si>
    <t>GGAGTTCC</t>
  </si>
  <si>
    <t>CATGGCCA</t>
  </si>
  <si>
    <t>AATCTCTC</t>
  </si>
  <si>
    <t>TAACCGCG</t>
  </si>
  <si>
    <t>TGGCGGTC</t>
  </si>
  <si>
    <t>CCATCTTA</t>
  </si>
  <si>
    <t>ATGTCAAT</t>
  </si>
  <si>
    <t>AGTTGGCT</t>
  </si>
  <si>
    <t>ACCTAGTA</t>
  </si>
  <si>
    <t>AACCGTGA</t>
  </si>
  <si>
    <t>TCATTACA</t>
  </si>
  <si>
    <t>CTGACGTG</t>
  </si>
  <si>
    <t>GAATTCAG</t>
  </si>
  <si>
    <t>CCGGTACG</t>
  </si>
  <si>
    <t>CCGTCATC</t>
  </si>
  <si>
    <t>CGTCTATA</t>
  </si>
  <si>
    <t>TCAATGAC</t>
  </si>
  <si>
    <t>AACGATGC</t>
  </si>
  <si>
    <t>GTCAACCT</t>
  </si>
  <si>
    <t>CAGTTTCA</t>
  </si>
  <si>
    <t>Nextera_5XX</t>
  </si>
  <si>
    <t>Nextera_7XX</t>
  </si>
  <si>
    <t>CAAGCAGAAGACGGCATACGAGAT XXXXXXXX GTCTCGTGGGCTCGG</t>
  </si>
  <si>
    <t>AATGATACGGCGACCACCGAGATCTACAC XXXXXXXX TCGTCGGCAGCGTC</t>
  </si>
  <si>
    <t>Nextera_701</t>
  </si>
  <si>
    <t>Nextera_702</t>
  </si>
  <si>
    <t>Nextera_703</t>
  </si>
  <si>
    <t>Nextera_704</t>
  </si>
  <si>
    <t>Nextera_705</t>
  </si>
  <si>
    <t>Nextera_706</t>
  </si>
  <si>
    <t>Nextera_707</t>
  </si>
  <si>
    <t>Nextera_708</t>
  </si>
  <si>
    <t>Nextera_709</t>
  </si>
  <si>
    <t>Nextera_710</t>
  </si>
  <si>
    <t>Nextera_711</t>
  </si>
  <si>
    <t>Nextera_712</t>
  </si>
  <si>
    <t>Nextera_713</t>
  </si>
  <si>
    <t>Nextera_714</t>
  </si>
  <si>
    <t>Nextera_715</t>
  </si>
  <si>
    <t>Nextera_716</t>
  </si>
  <si>
    <t>Nextera_717</t>
  </si>
  <si>
    <t>Nextera_718</t>
  </si>
  <si>
    <t>Nextera_719</t>
  </si>
  <si>
    <t>Nextera_720</t>
  </si>
  <si>
    <t>Nextera_721</t>
  </si>
  <si>
    <t>Nextera_722</t>
  </si>
  <si>
    <t>Nextera_723</t>
  </si>
  <si>
    <t>Nextera_724</t>
  </si>
  <si>
    <t>Nextera_725</t>
  </si>
  <si>
    <t>Nextera_726</t>
  </si>
  <si>
    <t>Nextera_727</t>
  </si>
  <si>
    <t>Nextera_728</t>
  </si>
  <si>
    <t>Nextera_729</t>
  </si>
  <si>
    <t>Nextera_730</t>
  </si>
  <si>
    <t>Nextera_731</t>
  </si>
  <si>
    <t>Nextera_732</t>
  </si>
  <si>
    <t>Nextera_733</t>
  </si>
  <si>
    <t>Nextera_734</t>
  </si>
  <si>
    <t>Nextera_735</t>
  </si>
  <si>
    <t>Nextera_736</t>
  </si>
  <si>
    <t>Nextera_737</t>
  </si>
  <si>
    <t>Nextera_738</t>
  </si>
  <si>
    <t>Nextera_739</t>
  </si>
  <si>
    <t>Nextera_740</t>
  </si>
  <si>
    <t>Nextera_741</t>
  </si>
  <si>
    <t>Nextera_742</t>
  </si>
  <si>
    <t>Nextera_743</t>
  </si>
  <si>
    <t>Nextera_744</t>
  </si>
  <si>
    <t>Nextera_745</t>
  </si>
  <si>
    <t>Nextera_746</t>
  </si>
  <si>
    <t>Nextera_747</t>
  </si>
  <si>
    <t>Nextera_748</t>
  </si>
  <si>
    <t>Nextera_501</t>
  </si>
  <si>
    <t>Nextera_502</t>
  </si>
  <si>
    <t>Nextera_503</t>
  </si>
  <si>
    <t>Nextera_504</t>
  </si>
  <si>
    <t>Nextera_505</t>
  </si>
  <si>
    <t>Nextera_506</t>
  </si>
  <si>
    <t>Nextera_507</t>
  </si>
  <si>
    <t>Nextera_508</t>
  </si>
  <si>
    <t>Nextera_509</t>
  </si>
  <si>
    <t>Nextera_510</t>
  </si>
  <si>
    <t>Nextera_511</t>
  </si>
  <si>
    <t>Nextera_512</t>
  </si>
  <si>
    <t>Nextera_513</t>
  </si>
  <si>
    <t>Nextera_514</t>
  </si>
  <si>
    <t>Nextera_515</t>
  </si>
  <si>
    <t>Nextera_516</t>
  </si>
  <si>
    <t>Nextera_517</t>
  </si>
  <si>
    <t>Nextera_518</t>
  </si>
  <si>
    <t>Nextera_519</t>
  </si>
  <si>
    <t>Nextera_520</t>
  </si>
  <si>
    <t>Nextera_521</t>
  </si>
  <si>
    <t>Nextera_522</t>
  </si>
  <si>
    <t>Nextera_523</t>
  </si>
  <si>
    <t>Nextera_524</t>
  </si>
  <si>
    <t>Nextera_525</t>
  </si>
  <si>
    <t>Nextera_526</t>
  </si>
  <si>
    <t>Nextera_527</t>
  </si>
  <si>
    <t>Nextera_528</t>
  </si>
  <si>
    <t>Nextera_529</t>
  </si>
  <si>
    <t>Nextera_530</t>
  </si>
  <si>
    <t>Nextera_531</t>
  </si>
  <si>
    <t>Nextera_532</t>
  </si>
  <si>
    <t>UDP0001</t>
  </si>
  <si>
    <t>CGCTCAGTTC</t>
  </si>
  <si>
    <t>GAACTGAGCG</t>
  </si>
  <si>
    <t>TCGTGGAGCG</t>
  </si>
  <si>
    <t>CGCTCCACGA</t>
  </si>
  <si>
    <t>UDP0002</t>
  </si>
  <si>
    <t>TATCTGACCT</t>
  </si>
  <si>
    <t>AGGTCAGATA</t>
  </si>
  <si>
    <t>CTACAAGATA</t>
  </si>
  <si>
    <t>TATCTTGTAG</t>
  </si>
  <si>
    <t>UDP0003</t>
  </si>
  <si>
    <t>ATATGAGACG</t>
  </si>
  <si>
    <t>CGTCTCATAT</t>
  </si>
  <si>
    <t>TATAGTAGCT</t>
  </si>
  <si>
    <t>AGCTACTATA</t>
  </si>
  <si>
    <t>UDP0004</t>
  </si>
  <si>
    <t>CTTATGGAAT</t>
  </si>
  <si>
    <t>ATTCCATAAG</t>
  </si>
  <si>
    <t>TGCCTGGTGG</t>
  </si>
  <si>
    <t>CCACCAGGCA</t>
  </si>
  <si>
    <t>UDP0005</t>
  </si>
  <si>
    <t>TAATCTCGTC</t>
  </si>
  <si>
    <t>GACGAGATTA</t>
  </si>
  <si>
    <t>ACATTATCCT</t>
  </si>
  <si>
    <t>AGGATAATGT</t>
  </si>
  <si>
    <t>UDP0006</t>
  </si>
  <si>
    <t>GCGCGATGTT</t>
  </si>
  <si>
    <t>AACATCGCGC</t>
  </si>
  <si>
    <t>GTCCACTTGT</t>
  </si>
  <si>
    <t>ACAAGTGGAC</t>
  </si>
  <si>
    <t>UDP0007</t>
  </si>
  <si>
    <t>AGAGCACTAG</t>
  </si>
  <si>
    <t>CTAGTGCTCT</t>
  </si>
  <si>
    <t>TGGAACAGTA</t>
  </si>
  <si>
    <t>TACTGTTCCA</t>
  </si>
  <si>
    <t>UDP0008</t>
  </si>
  <si>
    <t>TGCCTTGATC</t>
  </si>
  <si>
    <t>GATCAAGGCA</t>
  </si>
  <si>
    <t>CCTTGTTAAT</t>
  </si>
  <si>
    <t>ATTAACAAGG</t>
  </si>
  <si>
    <t>UDP0009</t>
  </si>
  <si>
    <t>CTACTCAGTC</t>
  </si>
  <si>
    <t>GACTGAGTAG</t>
  </si>
  <si>
    <t>GTTGATAGTG</t>
  </si>
  <si>
    <t>CACTATCAAC</t>
  </si>
  <si>
    <t>UDP0010</t>
  </si>
  <si>
    <t>TCGTCTGACT</t>
  </si>
  <si>
    <t>AGTCAGACGA</t>
  </si>
  <si>
    <t>ACCAGCGACA</t>
  </si>
  <si>
    <t>TGTCGCTGGT</t>
  </si>
  <si>
    <t>UDP0011</t>
  </si>
  <si>
    <t>GAACATACGG</t>
  </si>
  <si>
    <t>CCGTATGTTC</t>
  </si>
  <si>
    <t>CATACACTGT</t>
  </si>
  <si>
    <t>ACAGTGTATG</t>
  </si>
  <si>
    <t>UDP0012</t>
  </si>
  <si>
    <t>CCTATGACTC</t>
  </si>
  <si>
    <t>GAGTCATAGG</t>
  </si>
  <si>
    <t>GTGTGGCGCT</t>
  </si>
  <si>
    <t>AGCGCCACAC</t>
  </si>
  <si>
    <t>UDP0013</t>
  </si>
  <si>
    <t>TAATGGCAAG</t>
  </si>
  <si>
    <t>CTTGCCATTA</t>
  </si>
  <si>
    <t>ATCACGAAGG</t>
  </si>
  <si>
    <t>CCTTCGTGAT</t>
  </si>
  <si>
    <t>UDP0014</t>
  </si>
  <si>
    <t>GTGCCGCTTC</t>
  </si>
  <si>
    <t>GAAGCGGCAC</t>
  </si>
  <si>
    <t>CGGCTCTACT</t>
  </si>
  <si>
    <t>AGTAGAGCCG</t>
  </si>
  <si>
    <t>UDP0015</t>
  </si>
  <si>
    <t>CGGCAATGGA</t>
  </si>
  <si>
    <t>TCCATTGCCG</t>
  </si>
  <si>
    <t>GAATGCACGA</t>
  </si>
  <si>
    <t>TCGTGCATTC</t>
  </si>
  <si>
    <t>UDP0016</t>
  </si>
  <si>
    <t>GCCGTAACCG</t>
  </si>
  <si>
    <t>CGGTTACGGC</t>
  </si>
  <si>
    <t>AAGACTATAG</t>
  </si>
  <si>
    <t>CTATAGTCTT</t>
  </si>
  <si>
    <t>I7 in adapter</t>
  </si>
  <si>
    <t>i7 in samplesheet</t>
  </si>
  <si>
    <t>i5 in Miseq</t>
  </si>
  <si>
    <t>i5 in Nextseq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</si>
</sst>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mp" connectionId="1" xr16:uid="{D7947E3D-4C06-E84E-9F0C-814E2DF9FE2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0E8C-7EB4-D74E-B5D8-9A3FE55A06EA}">
  <dimension ref="A2:B14"/>
  <sheetViews>
    <sheetView zoomScale="137" workbookViewId="0">
      <selection activeCell="B6" sqref="B6"/>
    </sheetView>
  </sheetViews>
  <sheetFormatPr baseColWidth="10" defaultRowHeight="16" x14ac:dyDescent="0.2"/>
  <cols>
    <col min="1" max="1" width="17.33203125" style="1" bestFit="1" customWidth="1"/>
    <col min="2" max="2" width="88.1640625" style="1" bestFit="1" customWidth="1"/>
  </cols>
  <sheetData>
    <row r="2" spans="1:2" x14ac:dyDescent="0.2">
      <c r="A2" s="1" t="s">
        <v>1</v>
      </c>
      <c r="B2" s="1" t="s">
        <v>4</v>
      </c>
    </row>
    <row r="3" spans="1:2" x14ac:dyDescent="0.2">
      <c r="A3" s="1" t="s">
        <v>0</v>
      </c>
      <c r="B3" s="1" t="s">
        <v>5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16</v>
      </c>
      <c r="B6" s="1" t="s">
        <v>17</v>
      </c>
    </row>
    <row r="7" spans="1:2" x14ac:dyDescent="0.2">
      <c r="A7" s="1" t="s">
        <v>72</v>
      </c>
      <c r="B7" s="1" t="s">
        <v>73</v>
      </c>
    </row>
    <row r="8" spans="1:2" x14ac:dyDescent="0.2">
      <c r="A8" s="1" t="s">
        <v>74</v>
      </c>
      <c r="B8" s="1" t="s">
        <v>75</v>
      </c>
    </row>
    <row r="9" spans="1:2" x14ac:dyDescent="0.2">
      <c r="A9" s="1" t="s">
        <v>76</v>
      </c>
      <c r="B9" s="1" t="s">
        <v>77</v>
      </c>
    </row>
    <row r="13" spans="1:2" x14ac:dyDescent="0.2">
      <c r="A13" s="1" t="s">
        <v>259</v>
      </c>
      <c r="B13" s="1" t="s">
        <v>260</v>
      </c>
    </row>
    <row r="14" spans="1:2" x14ac:dyDescent="0.2">
      <c r="A14" s="1" t="s">
        <v>258</v>
      </c>
      <c r="B14" s="1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C8D5-AF15-4C4E-ABE6-73D7A1A9C359}">
  <dimension ref="A1:O83"/>
  <sheetViews>
    <sheetView tabSelected="1" topLeftCell="A33" zoomScale="92" workbookViewId="0">
      <selection activeCell="F43" sqref="F43"/>
    </sheetView>
  </sheetViews>
  <sheetFormatPr baseColWidth="10" defaultRowHeight="16" x14ac:dyDescent="0.2"/>
  <cols>
    <col min="2" max="2" width="15.5" bestFit="1" customWidth="1"/>
    <col min="3" max="3" width="16" customWidth="1"/>
    <col min="4" max="4" width="14" bestFit="1" customWidth="1"/>
    <col min="5" max="5" width="14" customWidth="1"/>
    <col min="6" max="6" width="87.83203125" bestFit="1" customWidth="1"/>
    <col min="7" max="7" width="14" customWidth="1"/>
    <col min="10" max="10" width="65.1640625" customWidth="1"/>
    <col min="11" max="11" width="9" bestFit="1" customWidth="1"/>
    <col min="12" max="12" width="13" bestFit="1" customWidth="1"/>
    <col min="13" max="13" width="13.1640625" bestFit="1" customWidth="1"/>
    <col min="14" max="15" width="13" bestFit="1" customWidth="1"/>
  </cols>
  <sheetData>
    <row r="1" spans="1:15" ht="34" x14ac:dyDescent="0.2">
      <c r="A1" s="4" t="s">
        <v>52</v>
      </c>
      <c r="B1" s="4" t="s">
        <v>10</v>
      </c>
      <c r="C1" s="4" t="s">
        <v>11</v>
      </c>
      <c r="D1" s="4" t="s">
        <v>14</v>
      </c>
      <c r="E1" s="4"/>
      <c r="F1" s="4"/>
      <c r="G1" s="4"/>
      <c r="L1" t="s">
        <v>422</v>
      </c>
      <c r="M1" t="s">
        <v>423</v>
      </c>
      <c r="N1" t="s">
        <v>424</v>
      </c>
      <c r="O1" t="s">
        <v>425</v>
      </c>
    </row>
    <row r="2" spans="1:15" x14ac:dyDescent="0.2">
      <c r="A2" s="2" t="s">
        <v>2</v>
      </c>
      <c r="B2" s="3" t="s">
        <v>15</v>
      </c>
      <c r="C2" s="3" t="s">
        <v>6</v>
      </c>
      <c r="D2" s="3" t="s">
        <v>6</v>
      </c>
      <c r="E2" s="3"/>
      <c r="F2" s="3" t="str">
        <f>"CAAGCAGAAGACGGCATACGAGAT " &amp;B2 &amp; " AGTCAGTCAG  CC  GGACTACNVGGGT"</f>
        <v>CAAGCAGAAGACGGCATACGAGAT TCGCCTTA  AGTCAGTCAG  CC  GGACTACNVGGGT</v>
      </c>
      <c r="G2" s="3"/>
      <c r="I2" s="3" t="s">
        <v>262</v>
      </c>
      <c r="J2" t="str">
        <f>"CAAGCAGAAGACGGCATACGAGAT"&amp;B2&amp;"GTCTCGTGGGCTCGG"</f>
        <v>CAAGCAGAAGACGGCATACGAGATTCGCCTTA GTCTCGTGGGCTCGG</v>
      </c>
      <c r="K2" s="5" t="s">
        <v>342</v>
      </c>
      <c r="L2" s="5" t="s">
        <v>343</v>
      </c>
      <c r="M2" s="5" t="s">
        <v>344</v>
      </c>
      <c r="N2" s="5" t="s">
        <v>345</v>
      </c>
      <c r="O2" s="5" t="s">
        <v>346</v>
      </c>
    </row>
    <row r="3" spans="1:15" x14ac:dyDescent="0.2">
      <c r="A3" s="2" t="s">
        <v>12</v>
      </c>
      <c r="B3" s="3" t="s">
        <v>18</v>
      </c>
      <c r="C3" s="3" t="s">
        <v>53</v>
      </c>
      <c r="D3" s="3" t="s">
        <v>53</v>
      </c>
      <c r="E3" s="3"/>
      <c r="F3" s="3" t="str">
        <f t="shared" ref="F3:F49" si="0">"CAAGCAGAAGACGGCATACGAGAT " &amp;B3 &amp; " AGTCAGTCAG  CC  GGACTACNVGGGT"</f>
        <v>CAAGCAGAAGACGGCATACGAGAT CTAGTACG AGTCAGTCAG  CC  GGACTACNVGGGT</v>
      </c>
      <c r="G3" s="3"/>
      <c r="I3" s="3" t="s">
        <v>263</v>
      </c>
      <c r="J3" t="str">
        <f t="shared" ref="J3:J49" si="1">"CAAGCAGAAGACGGCATACGAGAT"&amp;B3&amp;"GTCTCGTGGGCTCGG"</f>
        <v>CAAGCAGAAGACGGCATACGAGATCTAGTACGGTCTCGTGGGCTCGG</v>
      </c>
      <c r="K3" s="5" t="s">
        <v>347</v>
      </c>
      <c r="L3" s="5" t="s">
        <v>348</v>
      </c>
      <c r="M3" s="5" t="s">
        <v>349</v>
      </c>
      <c r="N3" s="5" t="s">
        <v>350</v>
      </c>
      <c r="O3" s="5" t="s">
        <v>351</v>
      </c>
    </row>
    <row r="4" spans="1:15" x14ac:dyDescent="0.2">
      <c r="A4" s="2" t="s">
        <v>13</v>
      </c>
      <c r="B4" s="3" t="s">
        <v>19</v>
      </c>
      <c r="C4" s="3" t="s">
        <v>54</v>
      </c>
      <c r="D4" s="3" t="s">
        <v>54</v>
      </c>
      <c r="E4" s="3"/>
      <c r="F4" s="3" t="str">
        <f t="shared" si="0"/>
        <v>CAAGCAGAAGACGGCATACGAGAT TTCTGCCT AGTCAGTCAG  CC  GGACTACNVGGGT</v>
      </c>
      <c r="G4" s="3"/>
      <c r="I4" s="3" t="s">
        <v>264</v>
      </c>
      <c r="J4" t="str">
        <f t="shared" si="1"/>
        <v>CAAGCAGAAGACGGCATACGAGATTTCTGCCTGTCTCGTGGGCTCGG</v>
      </c>
      <c r="K4" s="5" t="s">
        <v>352</v>
      </c>
      <c r="L4" s="5" t="s">
        <v>353</v>
      </c>
      <c r="M4" s="5" t="s">
        <v>354</v>
      </c>
      <c r="N4" s="5" t="s">
        <v>355</v>
      </c>
      <c r="O4" s="5" t="s">
        <v>356</v>
      </c>
    </row>
    <row r="5" spans="1:15" x14ac:dyDescent="0.2">
      <c r="A5" s="2" t="s">
        <v>20</v>
      </c>
      <c r="B5" s="3" t="s">
        <v>29</v>
      </c>
      <c r="C5" s="3" t="s">
        <v>55</v>
      </c>
      <c r="D5" s="3" t="s">
        <v>55</v>
      </c>
      <c r="E5" s="3"/>
      <c r="F5" s="3" t="str">
        <f t="shared" si="0"/>
        <v>CAAGCAGAAGACGGCATACGAGAT GCTCAGGA AGTCAGTCAG  CC  GGACTACNVGGGT</v>
      </c>
      <c r="G5" s="3"/>
      <c r="I5" s="3" t="s">
        <v>265</v>
      </c>
      <c r="J5" t="str">
        <f t="shared" si="1"/>
        <v>CAAGCAGAAGACGGCATACGAGATGCTCAGGAGTCTCGTGGGCTCGG</v>
      </c>
      <c r="K5" s="5" t="s">
        <v>357</v>
      </c>
      <c r="L5" s="5" t="s">
        <v>358</v>
      </c>
      <c r="M5" s="5" t="s">
        <v>359</v>
      </c>
      <c r="N5" s="5" t="s">
        <v>360</v>
      </c>
      <c r="O5" s="5" t="s">
        <v>361</v>
      </c>
    </row>
    <row r="6" spans="1:15" x14ac:dyDescent="0.2">
      <c r="A6" s="2" t="s">
        <v>21</v>
      </c>
      <c r="B6" s="3" t="s">
        <v>30</v>
      </c>
      <c r="C6" s="3" t="s">
        <v>56</v>
      </c>
      <c r="D6" s="3" t="s">
        <v>56</v>
      </c>
      <c r="E6" s="3"/>
      <c r="F6" s="3" t="str">
        <f t="shared" si="0"/>
        <v>CAAGCAGAAGACGGCATACGAGAT AGGAGTCC AGTCAGTCAG  CC  GGACTACNVGGGT</v>
      </c>
      <c r="G6" s="3"/>
      <c r="I6" s="3" t="s">
        <v>266</v>
      </c>
      <c r="J6" t="str">
        <f t="shared" si="1"/>
        <v>CAAGCAGAAGACGGCATACGAGATAGGAGTCCGTCTCGTGGGCTCGG</v>
      </c>
      <c r="K6" s="5" t="s">
        <v>362</v>
      </c>
      <c r="L6" s="5" t="s">
        <v>363</v>
      </c>
      <c r="M6" s="5" t="s">
        <v>364</v>
      </c>
      <c r="N6" s="5" t="s">
        <v>365</v>
      </c>
      <c r="O6" s="5" t="s">
        <v>366</v>
      </c>
    </row>
    <row r="7" spans="1:15" x14ac:dyDescent="0.2">
      <c r="A7" s="2" t="s">
        <v>22</v>
      </c>
      <c r="B7" s="3" t="s">
        <v>31</v>
      </c>
      <c r="C7" s="3" t="s">
        <v>57</v>
      </c>
      <c r="D7" s="3" t="s">
        <v>57</v>
      </c>
      <c r="E7" s="3"/>
      <c r="F7" s="3" t="str">
        <f t="shared" si="0"/>
        <v>CAAGCAGAAGACGGCATACGAGAT CATGCCTA AGTCAGTCAG  CC  GGACTACNVGGGT</v>
      </c>
      <c r="G7" s="3"/>
      <c r="I7" s="3" t="s">
        <v>267</v>
      </c>
      <c r="J7" t="str">
        <f t="shared" si="1"/>
        <v>CAAGCAGAAGACGGCATACGAGATCATGCCTAGTCTCGTGGGCTCGG</v>
      </c>
      <c r="K7" s="5" t="s">
        <v>367</v>
      </c>
      <c r="L7" s="5" t="s">
        <v>368</v>
      </c>
      <c r="M7" s="5" t="s">
        <v>369</v>
      </c>
      <c r="N7" s="5" t="s">
        <v>370</v>
      </c>
      <c r="O7" s="5" t="s">
        <v>371</v>
      </c>
    </row>
    <row r="8" spans="1:15" x14ac:dyDescent="0.2">
      <c r="A8" s="2" t="s">
        <v>23</v>
      </c>
      <c r="B8" s="3" t="s">
        <v>32</v>
      </c>
      <c r="C8" s="3" t="s">
        <v>58</v>
      </c>
      <c r="D8" s="3" t="s">
        <v>58</v>
      </c>
      <c r="E8" s="3"/>
      <c r="F8" s="3" t="str">
        <f t="shared" si="0"/>
        <v>CAAGCAGAAGACGGCATACGAGAT GTAGAGAG AGTCAGTCAG  CC  GGACTACNVGGGT</v>
      </c>
      <c r="G8" s="3"/>
      <c r="I8" s="3" t="s">
        <v>268</v>
      </c>
      <c r="J8" t="str">
        <f t="shared" si="1"/>
        <v>CAAGCAGAAGACGGCATACGAGATGTAGAGAGGTCTCGTGGGCTCGG</v>
      </c>
      <c r="K8" s="5" t="s">
        <v>372</v>
      </c>
      <c r="L8" s="5" t="s">
        <v>373</v>
      </c>
      <c r="M8" s="5" t="s">
        <v>374</v>
      </c>
      <c r="N8" s="5" t="s">
        <v>375</v>
      </c>
      <c r="O8" s="5" t="s">
        <v>376</v>
      </c>
    </row>
    <row r="9" spans="1:15" x14ac:dyDescent="0.2">
      <c r="A9" s="2" t="s">
        <v>24</v>
      </c>
      <c r="B9" s="3" t="s">
        <v>33</v>
      </c>
      <c r="C9" s="3" t="s">
        <v>59</v>
      </c>
      <c r="D9" s="3" t="s">
        <v>59</v>
      </c>
      <c r="E9" s="3"/>
      <c r="F9" s="3" t="str">
        <f t="shared" si="0"/>
        <v>CAAGCAGAAGACGGCATACGAGAT CCTCTCTG AGTCAGTCAG  CC  GGACTACNVGGGT</v>
      </c>
      <c r="G9" s="3"/>
      <c r="I9" s="3" t="s">
        <v>269</v>
      </c>
      <c r="J9" t="str">
        <f t="shared" si="1"/>
        <v>CAAGCAGAAGACGGCATACGAGATCCTCTCTGGTCTCGTGGGCTCGG</v>
      </c>
      <c r="K9" s="5" t="s">
        <v>377</v>
      </c>
      <c r="L9" s="5" t="s">
        <v>378</v>
      </c>
      <c r="M9" s="5" t="s">
        <v>379</v>
      </c>
      <c r="N9" s="5" t="s">
        <v>380</v>
      </c>
      <c r="O9" s="5" t="s">
        <v>381</v>
      </c>
    </row>
    <row r="10" spans="1:15" x14ac:dyDescent="0.2">
      <c r="A10" s="2" t="s">
        <v>25</v>
      </c>
      <c r="B10" s="3" t="s">
        <v>34</v>
      </c>
      <c r="C10" s="3" t="s">
        <v>60</v>
      </c>
      <c r="D10" s="3" t="s">
        <v>60</v>
      </c>
      <c r="E10" s="3"/>
      <c r="F10" s="3" t="str">
        <f t="shared" si="0"/>
        <v>CAAGCAGAAGACGGCATACGAGAT AGCGTAGC AGTCAGTCAG  CC  GGACTACNVGGGT</v>
      </c>
      <c r="G10" s="3"/>
      <c r="I10" s="3" t="s">
        <v>270</v>
      </c>
      <c r="J10" t="str">
        <f t="shared" si="1"/>
        <v>CAAGCAGAAGACGGCATACGAGATAGCGTAGCGTCTCGTGGGCTCGG</v>
      </c>
      <c r="K10" s="5" t="s">
        <v>382</v>
      </c>
      <c r="L10" s="5" t="s">
        <v>383</v>
      </c>
      <c r="M10" s="5" t="s">
        <v>384</v>
      </c>
      <c r="N10" s="5" t="s">
        <v>385</v>
      </c>
      <c r="O10" s="5" t="s">
        <v>386</v>
      </c>
    </row>
    <row r="11" spans="1:15" x14ac:dyDescent="0.2">
      <c r="A11" s="2" t="s">
        <v>26</v>
      </c>
      <c r="B11" s="3" t="s">
        <v>35</v>
      </c>
      <c r="C11" s="3" t="s">
        <v>61</v>
      </c>
      <c r="D11" s="3" t="s">
        <v>61</v>
      </c>
      <c r="E11" s="3"/>
      <c r="F11" s="3" t="str">
        <f t="shared" si="0"/>
        <v>CAAGCAGAAGACGGCATACGAGAT CAGCCTCG AGTCAGTCAG  CC  GGACTACNVGGGT</v>
      </c>
      <c r="G11" s="3"/>
      <c r="I11" s="3" t="s">
        <v>271</v>
      </c>
      <c r="J11" t="str">
        <f t="shared" si="1"/>
        <v>CAAGCAGAAGACGGCATACGAGATCAGCCTCGGTCTCGTGGGCTCGG</v>
      </c>
      <c r="K11" s="5" t="s">
        <v>387</v>
      </c>
      <c r="L11" s="5" t="s">
        <v>388</v>
      </c>
      <c r="M11" s="5" t="s">
        <v>389</v>
      </c>
      <c r="N11" s="5" t="s">
        <v>390</v>
      </c>
      <c r="O11" s="5" t="s">
        <v>391</v>
      </c>
    </row>
    <row r="12" spans="1:15" x14ac:dyDescent="0.2">
      <c r="A12" s="2" t="s">
        <v>27</v>
      </c>
      <c r="B12" s="3" t="s">
        <v>36</v>
      </c>
      <c r="C12" s="3" t="s">
        <v>62</v>
      </c>
      <c r="D12" s="3" t="s">
        <v>62</v>
      </c>
      <c r="E12" s="3"/>
      <c r="F12" s="3" t="str">
        <f t="shared" si="0"/>
        <v>CAAGCAGAAGACGGCATACGAGAT TGCCTCTT AGTCAGTCAG  CC  GGACTACNVGGGT</v>
      </c>
      <c r="G12" s="3"/>
      <c r="I12" s="3" t="s">
        <v>272</v>
      </c>
      <c r="J12" t="str">
        <f t="shared" si="1"/>
        <v>CAAGCAGAAGACGGCATACGAGATTGCCTCTTGTCTCGTGGGCTCGG</v>
      </c>
      <c r="K12" s="5" t="s">
        <v>392</v>
      </c>
      <c r="L12" s="5" t="s">
        <v>393</v>
      </c>
      <c r="M12" s="5" t="s">
        <v>394</v>
      </c>
      <c r="N12" s="5" t="s">
        <v>395</v>
      </c>
      <c r="O12" s="5" t="s">
        <v>396</v>
      </c>
    </row>
    <row r="13" spans="1:15" x14ac:dyDescent="0.2">
      <c r="A13" s="2" t="s">
        <v>28</v>
      </c>
      <c r="B13" s="3" t="s">
        <v>37</v>
      </c>
      <c r="C13" s="3" t="s">
        <v>63</v>
      </c>
      <c r="D13" s="3" t="s">
        <v>63</v>
      </c>
      <c r="E13" s="3"/>
      <c r="F13" s="3" t="str">
        <f t="shared" si="0"/>
        <v>CAAGCAGAAGACGGCATACGAGAT TCCTCTAC AGTCAGTCAG  CC  GGACTACNVGGGT</v>
      </c>
      <c r="G13" s="3"/>
      <c r="I13" s="3" t="s">
        <v>273</v>
      </c>
      <c r="J13" t="str">
        <f t="shared" si="1"/>
        <v>CAAGCAGAAGACGGCATACGAGATTCCTCTACGTCTCGTGGGCTCGG</v>
      </c>
      <c r="K13" s="5" t="s">
        <v>397</v>
      </c>
      <c r="L13" s="5" t="s">
        <v>398</v>
      </c>
      <c r="M13" s="5" t="s">
        <v>399</v>
      </c>
      <c r="N13" s="5" t="s">
        <v>400</v>
      </c>
      <c r="O13" s="5" t="s">
        <v>401</v>
      </c>
    </row>
    <row r="14" spans="1:15" x14ac:dyDescent="0.2">
      <c r="A14" s="2" t="s">
        <v>126</v>
      </c>
      <c r="B14" s="3" t="s">
        <v>198</v>
      </c>
      <c r="C14" s="3" t="s">
        <v>162</v>
      </c>
      <c r="D14" s="3" t="s">
        <v>162</v>
      </c>
      <c r="E14" s="3"/>
      <c r="F14" s="3" t="str">
        <f t="shared" si="0"/>
        <v>CAAGCAGAAGACGGCATACGAGAT ATTACAAT AGTCAGTCAG  CC  GGACTACNVGGGT</v>
      </c>
      <c r="G14" s="3"/>
      <c r="I14" s="3" t="s">
        <v>274</v>
      </c>
      <c r="J14" t="str">
        <f t="shared" si="1"/>
        <v>CAAGCAGAAGACGGCATACGAGATATTACAATGTCTCGTGGGCTCGG</v>
      </c>
      <c r="K14" s="5" t="s">
        <v>402</v>
      </c>
      <c r="L14" s="5" t="s">
        <v>403</v>
      </c>
      <c r="M14" s="5" t="s">
        <v>404</v>
      </c>
      <c r="N14" s="5" t="s">
        <v>405</v>
      </c>
      <c r="O14" s="5" t="s">
        <v>406</v>
      </c>
    </row>
    <row r="15" spans="1:15" x14ac:dyDescent="0.2">
      <c r="A15" s="2" t="s">
        <v>127</v>
      </c>
      <c r="B15" s="3" t="s">
        <v>199</v>
      </c>
      <c r="C15" s="3" t="s">
        <v>163</v>
      </c>
      <c r="D15" s="3" t="s">
        <v>163</v>
      </c>
      <c r="E15" s="3"/>
      <c r="F15" s="3" t="str">
        <f t="shared" si="0"/>
        <v>CAAGCAGAAGACGGCATACGAGAT GAATGATC AGTCAGTCAG  CC  GGACTACNVGGGT</v>
      </c>
      <c r="G15" s="3"/>
      <c r="I15" s="3" t="s">
        <v>275</v>
      </c>
      <c r="J15" t="str">
        <f t="shared" si="1"/>
        <v>CAAGCAGAAGACGGCATACGAGATGAATGATCGTCTCGTGGGCTCGG</v>
      </c>
      <c r="K15" s="5" t="s">
        <v>407</v>
      </c>
      <c r="L15" s="5" t="s">
        <v>408</v>
      </c>
      <c r="M15" s="5" t="s">
        <v>409</v>
      </c>
      <c r="N15" s="5" t="s">
        <v>410</v>
      </c>
      <c r="O15" s="5" t="s">
        <v>411</v>
      </c>
    </row>
    <row r="16" spans="1:15" x14ac:dyDescent="0.2">
      <c r="A16" s="2" t="s">
        <v>128</v>
      </c>
      <c r="B16" s="3" t="s">
        <v>200</v>
      </c>
      <c r="C16" s="3" t="s">
        <v>164</v>
      </c>
      <c r="D16" s="3" t="s">
        <v>164</v>
      </c>
      <c r="E16" s="3"/>
      <c r="F16" s="3" t="str">
        <f t="shared" si="0"/>
        <v>CAAGCAGAAGACGGCATACGAGAT CGATCGGT AGTCAGTCAG  CC  GGACTACNVGGGT</v>
      </c>
      <c r="G16" s="3"/>
      <c r="I16" s="3" t="s">
        <v>276</v>
      </c>
      <c r="J16" t="str">
        <f t="shared" si="1"/>
        <v>CAAGCAGAAGACGGCATACGAGATCGATCGGTGTCTCGTGGGCTCGG</v>
      </c>
      <c r="K16" s="5" t="s">
        <v>412</v>
      </c>
      <c r="L16" s="5" t="s">
        <v>413</v>
      </c>
      <c r="M16" s="5" t="s">
        <v>414</v>
      </c>
      <c r="N16" s="5" t="s">
        <v>415</v>
      </c>
      <c r="O16" s="5" t="s">
        <v>416</v>
      </c>
    </row>
    <row r="17" spans="1:15" x14ac:dyDescent="0.2">
      <c r="A17" s="2" t="s">
        <v>129</v>
      </c>
      <c r="B17" s="3" t="s">
        <v>201</v>
      </c>
      <c r="C17" s="3" t="s">
        <v>165</v>
      </c>
      <c r="D17" s="3" t="s">
        <v>165</v>
      </c>
      <c r="E17" s="3"/>
      <c r="F17" s="3" t="str">
        <f t="shared" si="0"/>
        <v>CAAGCAGAAGACGGCATACGAGAT AATAACGG AGTCAGTCAG  CC  GGACTACNVGGGT</v>
      </c>
      <c r="G17" s="3"/>
      <c r="I17" s="3" t="s">
        <v>277</v>
      </c>
      <c r="J17" t="str">
        <f t="shared" si="1"/>
        <v>CAAGCAGAAGACGGCATACGAGATAATAACGGGTCTCGTGGGCTCGG</v>
      </c>
      <c r="K17" s="5" t="s">
        <v>417</v>
      </c>
      <c r="L17" s="5" t="s">
        <v>418</v>
      </c>
      <c r="M17" s="5" t="s">
        <v>419</v>
      </c>
      <c r="N17" s="5" t="s">
        <v>420</v>
      </c>
      <c r="O17" s="5" t="s">
        <v>421</v>
      </c>
    </row>
    <row r="18" spans="1:15" x14ac:dyDescent="0.2">
      <c r="A18" s="2" t="s">
        <v>130</v>
      </c>
      <c r="B18" s="3" t="s">
        <v>202</v>
      </c>
      <c r="C18" s="3" t="s">
        <v>166</v>
      </c>
      <c r="D18" s="3" t="s">
        <v>166</v>
      </c>
      <c r="E18" s="3"/>
      <c r="F18" s="3" t="str">
        <f t="shared" si="0"/>
        <v>CAAGCAGAAGACGGCATACGAGAT TAGAAGAA AGTCAGTCAG  CC  GGACTACNVGGGT</v>
      </c>
      <c r="G18" s="3"/>
      <c r="I18" s="3" t="s">
        <v>278</v>
      </c>
      <c r="J18" t="str">
        <f t="shared" si="1"/>
        <v>CAAGCAGAAGACGGCATACGAGATTAGAAGAAGTCTCGTGGGCTCGG</v>
      </c>
    </row>
    <row r="19" spans="1:15" x14ac:dyDescent="0.2">
      <c r="A19" s="2" t="s">
        <v>131</v>
      </c>
      <c r="B19" s="3" t="s">
        <v>203</v>
      </c>
      <c r="C19" s="3" t="s">
        <v>167</v>
      </c>
      <c r="D19" s="3" t="s">
        <v>167</v>
      </c>
      <c r="E19" s="3"/>
      <c r="F19" s="3" t="str">
        <f t="shared" si="0"/>
        <v>CAAGCAGAAGACGGCATACGAGAT GTCAGGTA AGTCAGTCAG  CC  GGACTACNVGGGT</v>
      </c>
      <c r="G19" s="3"/>
      <c r="I19" s="3" t="s">
        <v>279</v>
      </c>
      <c r="J19" t="str">
        <f t="shared" si="1"/>
        <v>CAAGCAGAAGACGGCATACGAGATGTCAGGTAGTCTCGTGGGCTCGG</v>
      </c>
    </row>
    <row r="20" spans="1:15" x14ac:dyDescent="0.2">
      <c r="A20" s="2" t="s">
        <v>132</v>
      </c>
      <c r="B20" s="3" t="s">
        <v>204</v>
      </c>
      <c r="C20" s="3" t="s">
        <v>168</v>
      </c>
      <c r="D20" s="3" t="s">
        <v>168</v>
      </c>
      <c r="E20" s="3"/>
      <c r="F20" s="3" t="str">
        <f t="shared" si="0"/>
        <v>CAAGCAGAAGACGGCATACGAGAT GCGGTCCT AGTCAGTCAG  CC  GGACTACNVGGGT</v>
      </c>
      <c r="G20" s="3"/>
      <c r="I20" s="3" t="s">
        <v>280</v>
      </c>
      <c r="J20" t="str">
        <f t="shared" si="1"/>
        <v>CAAGCAGAAGACGGCATACGAGATGCGGTCCTGTCTCGTGGGCTCGG</v>
      </c>
    </row>
    <row r="21" spans="1:15" x14ac:dyDescent="0.2">
      <c r="A21" s="2" t="s">
        <v>133</v>
      </c>
      <c r="B21" s="3" t="s">
        <v>205</v>
      </c>
      <c r="C21" s="3" t="s">
        <v>169</v>
      </c>
      <c r="D21" s="3" t="s">
        <v>169</v>
      </c>
      <c r="E21" s="3"/>
      <c r="F21" s="3" t="str">
        <f t="shared" si="0"/>
        <v>CAAGCAGAAGACGGCATACGAGAT AATCGGAC AGTCAGTCAG  CC  GGACTACNVGGGT</v>
      </c>
      <c r="G21" s="3"/>
      <c r="I21" s="3" t="s">
        <v>281</v>
      </c>
      <c r="J21" t="str">
        <f t="shared" si="1"/>
        <v>CAAGCAGAAGACGGCATACGAGATAATCGGACGTCTCGTGGGCTCGG</v>
      </c>
    </row>
    <row r="22" spans="1:15" x14ac:dyDescent="0.2">
      <c r="A22" s="2" t="s">
        <v>134</v>
      </c>
      <c r="B22" s="3" t="s">
        <v>206</v>
      </c>
      <c r="C22" s="3" t="s">
        <v>170</v>
      </c>
      <c r="D22" s="3" t="s">
        <v>170</v>
      </c>
      <c r="E22" s="3"/>
      <c r="F22" s="3" t="str">
        <f t="shared" si="0"/>
        <v>CAAGCAGAAGACGGCATACGAGAT AACTCGTG AGTCAGTCAG  CC  GGACTACNVGGGT</v>
      </c>
      <c r="G22" s="3"/>
      <c r="I22" s="3" t="s">
        <v>282</v>
      </c>
      <c r="J22" t="str">
        <f t="shared" si="1"/>
        <v>CAAGCAGAAGACGGCATACGAGATAACTCGTGGTCTCGTGGGCTCGG</v>
      </c>
    </row>
    <row r="23" spans="1:15" x14ac:dyDescent="0.2">
      <c r="A23" s="2" t="s">
        <v>135</v>
      </c>
      <c r="B23" s="3" t="s">
        <v>207</v>
      </c>
      <c r="C23" s="3" t="s">
        <v>171</v>
      </c>
      <c r="D23" s="3" t="s">
        <v>171</v>
      </c>
      <c r="E23" s="3"/>
      <c r="F23" s="3" t="str">
        <f t="shared" si="0"/>
        <v>CAAGCAGAAGACGGCATACGAGAT GGCCGTGG AGTCAGTCAG  CC  GGACTACNVGGGT</v>
      </c>
      <c r="G23" s="3"/>
      <c r="I23" s="3" t="s">
        <v>283</v>
      </c>
      <c r="J23" t="str">
        <f t="shared" si="1"/>
        <v>CAAGCAGAAGACGGCATACGAGATGGCCGTGGGTCTCGTGGGCTCGG</v>
      </c>
    </row>
    <row r="24" spans="1:15" x14ac:dyDescent="0.2">
      <c r="A24" s="2" t="s">
        <v>136</v>
      </c>
      <c r="B24" s="3" t="s">
        <v>208</v>
      </c>
      <c r="C24" s="3" t="s">
        <v>172</v>
      </c>
      <c r="D24" s="3" t="s">
        <v>172</v>
      </c>
      <c r="E24" s="3"/>
      <c r="F24" s="3" t="str">
        <f t="shared" si="0"/>
        <v>CAAGCAGAAGACGGCATACGAGAT TTACATGT AGTCAGTCAG  CC  GGACTACNVGGGT</v>
      </c>
      <c r="G24" s="3"/>
      <c r="I24" s="3" t="s">
        <v>284</v>
      </c>
      <c r="J24" t="str">
        <f t="shared" si="1"/>
        <v>CAAGCAGAAGACGGCATACGAGATTTACATGTGTCTCGTGGGCTCGG</v>
      </c>
    </row>
    <row r="25" spans="1:15" x14ac:dyDescent="0.2">
      <c r="A25" s="2" t="s">
        <v>137</v>
      </c>
      <c r="B25" s="3" t="s">
        <v>209</v>
      </c>
      <c r="C25" s="3" t="s">
        <v>173</v>
      </c>
      <c r="D25" s="3" t="s">
        <v>173</v>
      </c>
      <c r="E25" s="3"/>
      <c r="F25" s="3" t="str">
        <f t="shared" si="0"/>
        <v>CAAGCAGAAGACGGCATACGAGAT AGTTAACA AGTCAGTCAG  CC  GGACTACNVGGGT</v>
      </c>
      <c r="G25" s="3"/>
      <c r="I25" s="3" t="s">
        <v>285</v>
      </c>
      <c r="J25" t="str">
        <f t="shared" si="1"/>
        <v>CAAGCAGAAGACGGCATACGAGATAGTTAACAGTCTCGTGGGCTCGG</v>
      </c>
    </row>
    <row r="26" spans="1:15" x14ac:dyDescent="0.2">
      <c r="A26" s="2" t="s">
        <v>138</v>
      </c>
      <c r="B26" s="3" t="s">
        <v>210</v>
      </c>
      <c r="C26" s="3" t="s">
        <v>174</v>
      </c>
      <c r="D26" s="3" t="s">
        <v>174</v>
      </c>
      <c r="E26" s="3"/>
      <c r="F26" s="3" t="str">
        <f t="shared" si="0"/>
        <v>CAAGCAGAAGACGGCATACGAGAT CGATACTG AGTCAGTCAG  CC  GGACTACNVGGGT</v>
      </c>
      <c r="G26" s="3"/>
      <c r="I26" s="3" t="s">
        <v>286</v>
      </c>
      <c r="J26" t="str">
        <f t="shared" si="1"/>
        <v>CAAGCAGAAGACGGCATACGAGATCGATACTGGTCTCGTGGGCTCGG</v>
      </c>
    </row>
    <row r="27" spans="1:15" x14ac:dyDescent="0.2">
      <c r="A27" s="2" t="s">
        <v>139</v>
      </c>
      <c r="B27" s="3" t="s">
        <v>211</v>
      </c>
      <c r="C27" s="3" t="s">
        <v>175</v>
      </c>
      <c r="D27" s="3" t="s">
        <v>175</v>
      </c>
      <c r="E27" s="3"/>
      <c r="F27" s="3" t="str">
        <f t="shared" si="0"/>
        <v>CAAGCAGAAGACGGCATACGAGAT TAGAGACG AGTCAGTCAG  CC  GGACTACNVGGGT</v>
      </c>
      <c r="G27" s="3"/>
      <c r="I27" s="3" t="s">
        <v>287</v>
      </c>
      <c r="J27" t="str">
        <f t="shared" si="1"/>
        <v>CAAGCAGAAGACGGCATACGAGATTAGAGACGGTCTCGTGGGCTCGG</v>
      </c>
    </row>
    <row r="28" spans="1:15" x14ac:dyDescent="0.2">
      <c r="A28" s="2" t="s">
        <v>140</v>
      </c>
      <c r="B28" s="3" t="s">
        <v>212</v>
      </c>
      <c r="C28" s="3" t="s">
        <v>176</v>
      </c>
      <c r="D28" s="3" t="s">
        <v>176</v>
      </c>
      <c r="E28" s="3"/>
      <c r="F28" s="3" t="str">
        <f t="shared" si="0"/>
        <v>CAAGCAGAAGACGGCATACGAGAT AGGCATCT AGTCAGTCAG  CC  GGACTACNVGGGT</v>
      </c>
      <c r="G28" s="3"/>
      <c r="I28" s="3" t="s">
        <v>288</v>
      </c>
      <c r="J28" t="str">
        <f t="shared" si="1"/>
        <v>CAAGCAGAAGACGGCATACGAGATAGGCATCTGTCTCGTGGGCTCGG</v>
      </c>
    </row>
    <row r="29" spans="1:15" x14ac:dyDescent="0.2">
      <c r="A29" s="2" t="s">
        <v>141</v>
      </c>
      <c r="B29" s="3" t="s">
        <v>213</v>
      </c>
      <c r="C29" s="3" t="s">
        <v>177</v>
      </c>
      <c r="D29" s="3" t="s">
        <v>177</v>
      </c>
      <c r="E29" s="3"/>
      <c r="F29" s="3" t="str">
        <f t="shared" si="0"/>
        <v>CAAGCAGAAGACGGCATACGAGAT GCAGAATC AGTCAGTCAG  CC  GGACTACNVGGGT</v>
      </c>
      <c r="G29" s="3"/>
      <c r="I29" s="3" t="s">
        <v>289</v>
      </c>
      <c r="J29" t="str">
        <f t="shared" si="1"/>
        <v>CAAGCAGAAGACGGCATACGAGATGCAGAATCGTCTCGTGGGCTCGG</v>
      </c>
    </row>
    <row r="30" spans="1:15" x14ac:dyDescent="0.2">
      <c r="A30" s="2" t="s">
        <v>142</v>
      </c>
      <c r="B30" s="3" t="s">
        <v>214</v>
      </c>
      <c r="C30" s="3" t="s">
        <v>178</v>
      </c>
      <c r="D30" s="3" t="s">
        <v>178</v>
      </c>
      <c r="E30" s="3"/>
      <c r="F30" s="3" t="str">
        <f t="shared" si="0"/>
        <v>CAAGCAGAAGACGGCATACGAGAT CTCGCTAA AGTCAGTCAG  CC  GGACTACNVGGGT</v>
      </c>
      <c r="G30" s="3"/>
      <c r="I30" s="3" t="s">
        <v>290</v>
      </c>
      <c r="J30" t="str">
        <f t="shared" si="1"/>
        <v>CAAGCAGAAGACGGCATACGAGATCTCGCTAAGTCTCGTGGGCTCGG</v>
      </c>
    </row>
    <row r="31" spans="1:15" x14ac:dyDescent="0.2">
      <c r="A31" s="2" t="s">
        <v>143</v>
      </c>
      <c r="B31" s="3" t="s">
        <v>215</v>
      </c>
      <c r="C31" s="3" t="s">
        <v>179</v>
      </c>
      <c r="D31" s="3" t="s">
        <v>179</v>
      </c>
      <c r="E31" s="3"/>
      <c r="F31" s="3" t="str">
        <f t="shared" si="0"/>
        <v>CAAGCAGAAGACGGCATACGAGAT ACATGGAC AGTCAGTCAG  CC  GGACTACNVGGGT</v>
      </c>
      <c r="G31" s="3"/>
      <c r="I31" s="3" t="s">
        <v>291</v>
      </c>
      <c r="J31" t="str">
        <f t="shared" si="1"/>
        <v>CAAGCAGAAGACGGCATACGAGATACATGGACGTCTCGTGGGCTCGG</v>
      </c>
    </row>
    <row r="32" spans="1:15" x14ac:dyDescent="0.2">
      <c r="A32" s="2" t="s">
        <v>144</v>
      </c>
      <c r="B32" s="3" t="s">
        <v>216</v>
      </c>
      <c r="C32" s="3" t="s">
        <v>180</v>
      </c>
      <c r="D32" s="3" t="s">
        <v>180</v>
      </c>
      <c r="E32" s="3"/>
      <c r="F32" s="3" t="str">
        <f t="shared" si="0"/>
        <v>CAAGCAGAAGACGGCATACGAGAT ATGTGAGC AGTCAGTCAG  CC  GGACTACNVGGGT</v>
      </c>
      <c r="G32" s="3"/>
      <c r="I32" s="3" t="s">
        <v>292</v>
      </c>
      <c r="J32" t="str">
        <f t="shared" si="1"/>
        <v>CAAGCAGAAGACGGCATACGAGATATGTGAGCGTCTCGTGGGCTCGG</v>
      </c>
    </row>
    <row r="33" spans="1:10" x14ac:dyDescent="0.2">
      <c r="A33" s="2" t="s">
        <v>145</v>
      </c>
      <c r="B33" s="3" t="s">
        <v>217</v>
      </c>
      <c r="C33" s="3" t="s">
        <v>181</v>
      </c>
      <c r="D33" s="3" t="s">
        <v>181</v>
      </c>
      <c r="E33" s="3"/>
      <c r="F33" s="3" t="str">
        <f t="shared" si="0"/>
        <v>CAAGCAGAAGACGGCATACGAGAT GTTCAACG AGTCAGTCAG  CC  GGACTACNVGGGT</v>
      </c>
      <c r="G33" s="3"/>
      <c r="I33" s="3" t="s">
        <v>293</v>
      </c>
      <c r="J33" t="str">
        <f t="shared" si="1"/>
        <v>CAAGCAGAAGACGGCATACGAGATGTTCAACGGTCTCGTGGGCTCGG</v>
      </c>
    </row>
    <row r="34" spans="1:10" x14ac:dyDescent="0.2">
      <c r="A34" s="2" t="s">
        <v>146</v>
      </c>
      <c r="B34" s="3" t="s">
        <v>218</v>
      </c>
      <c r="C34" s="3" t="s">
        <v>182</v>
      </c>
      <c r="D34" s="3" t="s">
        <v>182</v>
      </c>
      <c r="E34" s="3"/>
      <c r="F34" s="3" t="str">
        <f t="shared" si="0"/>
        <v>CAAGCAGAAGACGGCATACGAGAT AGCATGAC AGTCAGTCAG  CC  GGACTACNVGGGT</v>
      </c>
      <c r="G34" s="3"/>
      <c r="I34" s="3" t="s">
        <v>294</v>
      </c>
      <c r="J34" t="str">
        <f t="shared" si="1"/>
        <v>CAAGCAGAAGACGGCATACGAGATAGCATGACGTCTCGTGGGCTCGG</v>
      </c>
    </row>
    <row r="35" spans="1:10" x14ac:dyDescent="0.2">
      <c r="A35" s="2" t="s">
        <v>147</v>
      </c>
      <c r="B35" s="3" t="s">
        <v>219</v>
      </c>
      <c r="C35" s="3" t="s">
        <v>183</v>
      </c>
      <c r="D35" s="3" t="s">
        <v>183</v>
      </c>
      <c r="E35" s="3"/>
      <c r="F35" s="3" t="str">
        <f t="shared" si="0"/>
        <v>CAAGCAGAAGACGGCATACGAGAT GTAAGCCA AGTCAGTCAG  CC  GGACTACNVGGGT</v>
      </c>
      <c r="G35" s="3"/>
      <c r="I35" s="3" t="s">
        <v>295</v>
      </c>
      <c r="J35" t="str">
        <f t="shared" si="1"/>
        <v>CAAGCAGAAGACGGCATACGAGATGTAAGCCAGTCTCGTGGGCTCGG</v>
      </c>
    </row>
    <row r="36" spans="1:10" x14ac:dyDescent="0.2">
      <c r="A36" s="2" t="s">
        <v>148</v>
      </c>
      <c r="B36" s="3" t="s">
        <v>220</v>
      </c>
      <c r="C36" s="3" t="s">
        <v>184</v>
      </c>
      <c r="D36" s="3" t="s">
        <v>184</v>
      </c>
      <c r="E36" s="3"/>
      <c r="F36" s="3" t="str">
        <f t="shared" si="0"/>
        <v>CAAGCAGAAGACGGCATACGAGAT ACATACGG AGTCAGTCAG  CC  GGACTACNVGGGT</v>
      </c>
      <c r="G36" s="3"/>
      <c r="I36" s="3" t="s">
        <v>296</v>
      </c>
      <c r="J36" t="str">
        <f t="shared" si="1"/>
        <v>CAAGCAGAAGACGGCATACGAGATACATACGGGTCTCGTGGGCTCGG</v>
      </c>
    </row>
    <row r="37" spans="1:10" x14ac:dyDescent="0.2">
      <c r="A37" s="2" t="s">
        <v>149</v>
      </c>
      <c r="B37" s="3" t="s">
        <v>221</v>
      </c>
      <c r="C37" s="3" t="s">
        <v>185</v>
      </c>
      <c r="D37" s="3" t="s">
        <v>185</v>
      </c>
      <c r="E37" s="3"/>
      <c r="F37" s="3" t="str">
        <f t="shared" si="0"/>
        <v>CAAGCAGAAGACGGCATACGAGAT TCTCCAGA AGTCAGTCAG  CC  GGACTACNVGGGT</v>
      </c>
      <c r="G37" s="3"/>
      <c r="I37" s="3" t="s">
        <v>297</v>
      </c>
      <c r="J37" t="str">
        <f t="shared" si="1"/>
        <v>CAAGCAGAAGACGGCATACGAGATTCTCCAGAGTCTCGTGGGCTCGG</v>
      </c>
    </row>
    <row r="38" spans="1:10" x14ac:dyDescent="0.2">
      <c r="A38" s="2" t="s">
        <v>150</v>
      </c>
      <c r="B38" s="3" t="s">
        <v>222</v>
      </c>
      <c r="C38" s="3" t="s">
        <v>186</v>
      </c>
      <c r="D38" s="3" t="s">
        <v>186</v>
      </c>
      <c r="E38" s="3"/>
      <c r="F38" s="3" t="str">
        <f t="shared" si="0"/>
        <v>CAAGCAGAAGACGGCATACGAGAT GTAGACCT AGTCAGTCAG  CC  GGACTACNVGGGT</v>
      </c>
      <c r="G38" s="3"/>
      <c r="I38" s="3" t="s">
        <v>298</v>
      </c>
      <c r="J38" t="str">
        <f t="shared" si="1"/>
        <v>CAAGCAGAAGACGGCATACGAGATGTAGACCTGTCTCGTGGGCTCGG</v>
      </c>
    </row>
    <row r="39" spans="1:10" x14ac:dyDescent="0.2">
      <c r="A39" s="2" t="s">
        <v>151</v>
      </c>
      <c r="B39" s="3" t="s">
        <v>223</v>
      </c>
      <c r="C39" s="3" t="s">
        <v>187</v>
      </c>
      <c r="D39" s="3" t="s">
        <v>187</v>
      </c>
      <c r="E39" s="3"/>
      <c r="F39" s="3" t="str">
        <f t="shared" si="0"/>
        <v>CAAGCAGAAGACGGCATACGAGAT AGTACGGA AGTCAGTCAG  CC  GGACTACNVGGGT</v>
      </c>
      <c r="G39" s="3"/>
      <c r="I39" s="3" t="s">
        <v>299</v>
      </c>
      <c r="J39" t="str">
        <f t="shared" si="1"/>
        <v>CAAGCAGAAGACGGCATACGAGATAGTACGGAGTCTCGTGGGCTCGG</v>
      </c>
    </row>
    <row r="40" spans="1:10" x14ac:dyDescent="0.2">
      <c r="A40" s="2" t="s">
        <v>152</v>
      </c>
      <c r="B40" s="3" t="s">
        <v>224</v>
      </c>
      <c r="C40" s="3" t="s">
        <v>188</v>
      </c>
      <c r="D40" s="3" t="s">
        <v>188</v>
      </c>
      <c r="E40" s="3"/>
      <c r="F40" s="3" t="str">
        <f t="shared" si="0"/>
        <v>CAAGCAGAAGACGGCATACGAGAT TAGTTCGC AGTCAGTCAG  CC  GGACTACNVGGGT</v>
      </c>
      <c r="G40" s="3"/>
      <c r="I40" s="3" t="s">
        <v>300</v>
      </c>
      <c r="J40" t="str">
        <f t="shared" si="1"/>
        <v>CAAGCAGAAGACGGCATACGAGATTAGTTCGCGTCTCGTGGGCTCGG</v>
      </c>
    </row>
    <row r="41" spans="1:10" x14ac:dyDescent="0.2">
      <c r="A41" s="2" t="s">
        <v>153</v>
      </c>
      <c r="B41" s="3" t="s">
        <v>225</v>
      </c>
      <c r="C41" s="3" t="s">
        <v>189</v>
      </c>
      <c r="D41" s="3" t="s">
        <v>189</v>
      </c>
      <c r="E41" s="3"/>
      <c r="F41" s="3" t="str">
        <f t="shared" si="0"/>
        <v>CAAGCAGAAGACGGCATACGAGAT GATTCGGA AGTCAGTCAG  CC  GGACTACNVGGGT</v>
      </c>
      <c r="G41" s="3"/>
      <c r="I41" s="3" t="s">
        <v>301</v>
      </c>
      <c r="J41" t="str">
        <f t="shared" si="1"/>
        <v>CAAGCAGAAGACGGCATACGAGATGATTCGGAGTCTCGTGGGCTCGG</v>
      </c>
    </row>
    <row r="42" spans="1:10" x14ac:dyDescent="0.2">
      <c r="A42" s="2" t="s">
        <v>154</v>
      </c>
      <c r="B42" s="3" t="s">
        <v>226</v>
      </c>
      <c r="C42" s="3" t="s">
        <v>190</v>
      </c>
      <c r="D42" s="3" t="s">
        <v>190</v>
      </c>
      <c r="E42" s="3"/>
      <c r="F42" s="3" t="str">
        <f t="shared" si="0"/>
        <v>CAAGCAGAAGACGGCATACGAGAT ACTGACCT AGTCAGTCAG  CC  GGACTACNVGGGT</v>
      </c>
      <c r="G42" s="3"/>
      <c r="I42" s="3" t="s">
        <v>302</v>
      </c>
      <c r="J42" t="str">
        <f t="shared" si="1"/>
        <v>CAAGCAGAAGACGGCATACGAGATACTGACCTGTCTCGTGGGCTCGG</v>
      </c>
    </row>
    <row r="43" spans="1:10" x14ac:dyDescent="0.2">
      <c r="A43" s="2" t="s">
        <v>155</v>
      </c>
      <c r="B43" s="3" t="s">
        <v>227</v>
      </c>
      <c r="C43" s="3" t="s">
        <v>191</v>
      </c>
      <c r="D43" s="3" t="s">
        <v>191</v>
      </c>
      <c r="E43" s="3"/>
      <c r="F43" s="3" t="str">
        <f t="shared" si="0"/>
        <v>CAAGCAGAAGACGGCATACGAGAT GAGCACTT AGTCAGTCAG  CC  GGACTACNVGGGT</v>
      </c>
      <c r="G43" s="3"/>
      <c r="I43" s="3" t="s">
        <v>303</v>
      </c>
      <c r="J43" t="str">
        <f t="shared" si="1"/>
        <v>CAAGCAGAAGACGGCATACGAGATGAGCACTTGTCTCGTGGGCTCGG</v>
      </c>
    </row>
    <row r="44" spans="1:10" x14ac:dyDescent="0.2">
      <c r="A44" s="2" t="s">
        <v>156</v>
      </c>
      <c r="B44" s="3" t="s">
        <v>228</v>
      </c>
      <c r="C44" s="3" t="s">
        <v>192</v>
      </c>
      <c r="D44" s="3" t="s">
        <v>192</v>
      </c>
      <c r="E44" s="3"/>
      <c r="F44" s="3" t="str">
        <f t="shared" si="0"/>
        <v>CAAGCAGAAGACGGCATACGAGAT CTGCTTAC AGTCAGTCAG  CC  GGACTACNVGGGT</v>
      </c>
      <c r="G44" s="3"/>
      <c r="I44" s="3" t="s">
        <v>304</v>
      </c>
      <c r="J44" t="str">
        <f t="shared" si="1"/>
        <v>CAAGCAGAAGACGGCATACGAGATCTGCTTACGTCTCGTGGGCTCGG</v>
      </c>
    </row>
    <row r="45" spans="1:10" x14ac:dyDescent="0.2">
      <c r="A45" s="2" t="s">
        <v>157</v>
      </c>
      <c r="B45" s="3" t="s">
        <v>229</v>
      </c>
      <c r="C45" s="3" t="s">
        <v>193</v>
      </c>
      <c r="D45" s="3" t="s">
        <v>193</v>
      </c>
      <c r="E45" s="3"/>
      <c r="F45" s="3" t="str">
        <f t="shared" si="0"/>
        <v>CAAGCAGAAGACGGCATACGAGAT ACCGTCAT AGTCAGTCAG  CC  GGACTACNVGGGT</v>
      </c>
      <c r="G45" s="3"/>
      <c r="I45" s="3" t="s">
        <v>305</v>
      </c>
      <c r="J45" t="str">
        <f t="shared" si="1"/>
        <v>CAAGCAGAAGACGGCATACGAGATACCGTCATGTCTCGTGGGCTCGG</v>
      </c>
    </row>
    <row r="46" spans="1:10" x14ac:dyDescent="0.2">
      <c r="A46" s="2" t="s">
        <v>158</v>
      </c>
      <c r="B46" s="3" t="s">
        <v>230</v>
      </c>
      <c r="C46" s="3" t="s">
        <v>194</v>
      </c>
      <c r="D46" s="3" t="s">
        <v>194</v>
      </c>
      <c r="E46" s="3"/>
      <c r="F46" s="3" t="str">
        <f t="shared" si="0"/>
        <v>CAAGCAGAAGACGGCATACGAGAT TGCTCTCA AGTCAGTCAG  CC  GGACTACNVGGGT</v>
      </c>
      <c r="G46" s="3"/>
      <c r="I46" s="3" t="s">
        <v>306</v>
      </c>
      <c r="J46" t="str">
        <f t="shared" si="1"/>
        <v>CAAGCAGAAGACGGCATACGAGATTGCTCTCAGTCTCGTGGGCTCGG</v>
      </c>
    </row>
    <row r="47" spans="1:10" x14ac:dyDescent="0.2">
      <c r="A47" s="2" t="s">
        <v>159</v>
      </c>
      <c r="B47" s="3" t="s">
        <v>231</v>
      </c>
      <c r="C47" s="3" t="s">
        <v>195</v>
      </c>
      <c r="D47" s="3" t="s">
        <v>195</v>
      </c>
      <c r="E47" s="3"/>
      <c r="F47" s="3" t="str">
        <f t="shared" si="0"/>
        <v>CAAGCAGAAGACGGCATACGAGAT GTACCAGA AGTCAGTCAG  CC  GGACTACNVGGGT</v>
      </c>
      <c r="G47" s="3"/>
      <c r="I47" s="3" t="s">
        <v>307</v>
      </c>
      <c r="J47" t="str">
        <f t="shared" si="1"/>
        <v>CAAGCAGAAGACGGCATACGAGATGTACCAGAGTCTCGTGGGCTCGG</v>
      </c>
    </row>
    <row r="48" spans="1:10" x14ac:dyDescent="0.2">
      <c r="A48" s="2" t="s">
        <v>160</v>
      </c>
      <c r="B48" s="3" t="s">
        <v>232</v>
      </c>
      <c r="C48" s="3" t="s">
        <v>196</v>
      </c>
      <c r="D48" s="3" t="s">
        <v>196</v>
      </c>
      <c r="E48" s="3"/>
      <c r="F48" s="3" t="str">
        <f t="shared" si="0"/>
        <v>CAAGCAGAAGACGGCATACGAGAT CCAATTCG AGTCAGTCAG  CC  GGACTACNVGGGT</v>
      </c>
      <c r="G48" s="3"/>
      <c r="I48" s="3" t="s">
        <v>308</v>
      </c>
      <c r="J48" t="str">
        <f t="shared" si="1"/>
        <v>CAAGCAGAAGACGGCATACGAGATCCAATTCGGTCTCGTGGGCTCGG</v>
      </c>
    </row>
    <row r="49" spans="1:10" x14ac:dyDescent="0.2">
      <c r="A49" s="2" t="s">
        <v>161</v>
      </c>
      <c r="B49" s="3" t="s">
        <v>233</v>
      </c>
      <c r="C49" s="3" t="s">
        <v>197</v>
      </c>
      <c r="D49" s="3" t="s">
        <v>197</v>
      </c>
      <c r="E49" s="3"/>
      <c r="F49" s="3" t="str">
        <f t="shared" si="0"/>
        <v>CAAGCAGAAGACGGCATACGAGAT GGTCATGT AGTCAGTCAG  CC  GGACTACNVGGGT</v>
      </c>
      <c r="G49" s="3"/>
      <c r="I49" s="3" t="s">
        <v>309</v>
      </c>
      <c r="J49" t="str">
        <f t="shared" si="1"/>
        <v>CAAGCAGAAGACGGCATACGAGATGGTCATGTGTCTCGTGGGCTCGG</v>
      </c>
    </row>
    <row r="50" spans="1:10" x14ac:dyDescent="0.2">
      <c r="A50" s="2"/>
      <c r="B50" s="3"/>
      <c r="C50" s="3"/>
      <c r="D50" s="3"/>
      <c r="E50" s="3"/>
      <c r="F50" s="3"/>
      <c r="G50" s="3"/>
    </row>
    <row r="51" spans="1:10" x14ac:dyDescent="0.2">
      <c r="A51" s="2" t="s">
        <v>3</v>
      </c>
      <c r="B51" s="3" t="s">
        <v>7</v>
      </c>
      <c r="C51" s="3" t="s">
        <v>64</v>
      </c>
      <c r="D51" s="3" t="s">
        <v>7</v>
      </c>
      <c r="E51" s="3"/>
      <c r="F51" s="1" t="str">
        <f>"AATGATACGGCGACCACCGAGATCTACAC " &amp; B51 &amp; " TATGGTAATTGTGTGYC  AGC"</f>
        <v>AATGATACGGCGACCACCGAGATCTACAC TAGATCGC TATGGTAATTGTGTGYC  AGC</v>
      </c>
      <c r="G51" s="3"/>
      <c r="I51" s="3" t="s">
        <v>310</v>
      </c>
      <c r="J51" t="str">
        <f>"AATGATACGGCGACCACCGAGATCTACAC"&amp;B51&amp;"TCGTCGGCAGCGTC"</f>
        <v>AATGATACGGCGACCACCGAGATCTACACTAGATCGCTCGTCGGCAGCGTC</v>
      </c>
    </row>
    <row r="52" spans="1:10" x14ac:dyDescent="0.2">
      <c r="A52" s="2" t="s">
        <v>38</v>
      </c>
      <c r="B52" s="3" t="s">
        <v>45</v>
      </c>
      <c r="C52" s="3" t="s">
        <v>65</v>
      </c>
      <c r="D52" s="3" t="s">
        <v>45</v>
      </c>
      <c r="E52" s="3"/>
      <c r="F52" s="1" t="str">
        <f t="shared" ref="F52:F82" si="2">"AATGATACGGCGACCACCGAGATCTACAC " &amp; B52 &amp; " TATGGTAATTGTGTGYC  AGC"</f>
        <v>AATGATACGGCGACCACCGAGATCTACAC CTCTCTAT TATGGTAATTGTGTGYC  AGC</v>
      </c>
      <c r="G52" s="3"/>
      <c r="I52" s="3" t="s">
        <v>311</v>
      </c>
      <c r="J52" t="str">
        <f t="shared" ref="J52:J82" si="3">"AATGATACGGCGACCACCGAGATCTACAC"&amp;B52&amp;"TCGTCGGCAGCGTC"</f>
        <v>AATGATACGGCGACCACCGAGATCTACACCTCTCTATTCGTCGGCAGCGTC</v>
      </c>
    </row>
    <row r="53" spans="1:10" x14ac:dyDescent="0.2">
      <c r="A53" s="2" t="s">
        <v>39</v>
      </c>
      <c r="B53" s="3" t="s">
        <v>46</v>
      </c>
      <c r="C53" s="3" t="s">
        <v>66</v>
      </c>
      <c r="D53" s="3" t="s">
        <v>46</v>
      </c>
      <c r="E53" s="3"/>
      <c r="F53" s="1" t="str">
        <f t="shared" si="2"/>
        <v>AATGATACGGCGACCACCGAGATCTACAC TATCCTCT TATGGTAATTGTGTGYC  AGC</v>
      </c>
      <c r="G53" s="3"/>
      <c r="I53" s="3" t="s">
        <v>312</v>
      </c>
      <c r="J53" t="str">
        <f t="shared" si="3"/>
        <v>AATGATACGGCGACCACCGAGATCTACACTATCCTCTTCGTCGGCAGCGTC</v>
      </c>
    </row>
    <row r="54" spans="1:10" x14ac:dyDescent="0.2">
      <c r="A54" s="2" t="s">
        <v>40</v>
      </c>
      <c r="B54" s="3" t="s">
        <v>47</v>
      </c>
      <c r="C54" s="3" t="s">
        <v>67</v>
      </c>
      <c r="D54" s="3" t="s">
        <v>47</v>
      </c>
      <c r="E54" s="3"/>
      <c r="F54" s="1" t="str">
        <f t="shared" si="2"/>
        <v>AATGATACGGCGACCACCGAGATCTACAC AGAGTAGA TATGGTAATTGTGTGYC  AGC</v>
      </c>
      <c r="G54" s="3"/>
      <c r="I54" s="3" t="s">
        <v>313</v>
      </c>
      <c r="J54" t="str">
        <f t="shared" si="3"/>
        <v>AATGATACGGCGACCACCGAGATCTACACAGAGTAGATCGTCGGCAGCGTC</v>
      </c>
    </row>
    <row r="55" spans="1:10" x14ac:dyDescent="0.2">
      <c r="A55" s="2" t="s">
        <v>41</v>
      </c>
      <c r="B55" s="3" t="s">
        <v>48</v>
      </c>
      <c r="C55" s="3" t="s">
        <v>68</v>
      </c>
      <c r="D55" s="3" t="s">
        <v>48</v>
      </c>
      <c r="E55" s="3"/>
      <c r="F55" s="1" t="str">
        <f t="shared" si="2"/>
        <v>AATGATACGGCGACCACCGAGATCTACAC GTAAGGAG TATGGTAATTGTGTGYC  AGC</v>
      </c>
      <c r="G55" s="3"/>
      <c r="I55" s="3" t="s">
        <v>314</v>
      </c>
      <c r="J55" t="str">
        <f t="shared" si="3"/>
        <v>AATGATACGGCGACCACCGAGATCTACACGTAAGGAGTCGTCGGCAGCGTC</v>
      </c>
    </row>
    <row r="56" spans="1:10" x14ac:dyDescent="0.2">
      <c r="A56" s="2" t="s">
        <v>42</v>
      </c>
      <c r="B56" s="3" t="s">
        <v>49</v>
      </c>
      <c r="C56" s="3" t="s">
        <v>69</v>
      </c>
      <c r="D56" s="3" t="s">
        <v>49</v>
      </c>
      <c r="E56" s="3"/>
      <c r="F56" s="1" t="str">
        <f t="shared" si="2"/>
        <v>AATGATACGGCGACCACCGAGATCTACAC ACTGCATA TATGGTAATTGTGTGYC  AGC</v>
      </c>
      <c r="G56" s="3"/>
      <c r="I56" s="3" t="s">
        <v>315</v>
      </c>
      <c r="J56" t="str">
        <f t="shared" si="3"/>
        <v>AATGATACGGCGACCACCGAGATCTACACACTGCATATCGTCGGCAGCGTC</v>
      </c>
    </row>
    <row r="57" spans="1:10" x14ac:dyDescent="0.2">
      <c r="A57" s="2" t="s">
        <v>43</v>
      </c>
      <c r="B57" s="3" t="s">
        <v>50</v>
      </c>
      <c r="C57" s="3" t="s">
        <v>70</v>
      </c>
      <c r="D57" s="3" t="s">
        <v>50</v>
      </c>
      <c r="E57" s="3"/>
      <c r="F57" s="1" t="str">
        <f t="shared" si="2"/>
        <v>AATGATACGGCGACCACCGAGATCTACAC AAGGAGTA TATGGTAATTGTGTGYC  AGC</v>
      </c>
      <c r="G57" s="3"/>
      <c r="I57" s="3" t="s">
        <v>316</v>
      </c>
      <c r="J57" t="str">
        <f t="shared" si="3"/>
        <v>AATGATACGGCGACCACCGAGATCTACACAAGGAGTATCGTCGGCAGCGTC</v>
      </c>
    </row>
    <row r="58" spans="1:10" x14ac:dyDescent="0.2">
      <c r="A58" s="2" t="s">
        <v>44</v>
      </c>
      <c r="B58" s="3" t="s">
        <v>51</v>
      </c>
      <c r="C58" s="3" t="s">
        <v>71</v>
      </c>
      <c r="D58" s="3" t="s">
        <v>51</v>
      </c>
      <c r="E58" s="3"/>
      <c r="F58" s="1" t="str">
        <f t="shared" si="2"/>
        <v>AATGATACGGCGACCACCGAGATCTACAC CTAAGCCT TATGGTAATTGTGTGYC  AGC</v>
      </c>
      <c r="G58" s="3"/>
      <c r="I58" s="3" t="s">
        <v>317</v>
      </c>
      <c r="J58" t="str">
        <f t="shared" si="3"/>
        <v>AATGATACGGCGACCACCGAGATCTACACCTAAGCCTTCGTCGGCAGCGTC</v>
      </c>
    </row>
    <row r="59" spans="1:10" x14ac:dyDescent="0.2">
      <c r="A59" s="2" t="s">
        <v>78</v>
      </c>
      <c r="B59" s="3" t="s">
        <v>82</v>
      </c>
      <c r="C59" s="3" t="s">
        <v>234</v>
      </c>
      <c r="D59" s="3" t="s">
        <v>82</v>
      </c>
      <c r="E59" s="3"/>
      <c r="F59" s="1" t="str">
        <f t="shared" si="2"/>
        <v>AATGATACGGCGACCACCGAGATCTACAC GGCTACTC TATGGTAATTGTGTGYC  AGC</v>
      </c>
      <c r="G59" s="3"/>
      <c r="H59" s="3"/>
      <c r="I59" s="3" t="s">
        <v>318</v>
      </c>
      <c r="J59" t="str">
        <f t="shared" si="3"/>
        <v>AATGATACGGCGACCACCGAGATCTACACGGCTACTCTCGTCGGCAGCGTC</v>
      </c>
    </row>
    <row r="60" spans="1:10" x14ac:dyDescent="0.2">
      <c r="A60" s="2" t="s">
        <v>79</v>
      </c>
      <c r="B60" s="3" t="s">
        <v>83</v>
      </c>
      <c r="C60" s="3" t="s">
        <v>235</v>
      </c>
      <c r="D60" s="3" t="s">
        <v>83</v>
      </c>
      <c r="E60" s="3"/>
      <c r="F60" s="1" t="str">
        <f t="shared" si="2"/>
        <v>AATGATACGGCGACCACCGAGATCTACAC CCTCAGAC TATGGTAATTGTGTGYC  AGC</v>
      </c>
      <c r="G60" s="3"/>
      <c r="H60" s="3"/>
      <c r="I60" s="3" t="s">
        <v>319</v>
      </c>
      <c r="J60" t="str">
        <f t="shared" si="3"/>
        <v>AATGATACGGCGACCACCGAGATCTACACCCTCAGACTCGTCGGCAGCGTC</v>
      </c>
    </row>
    <row r="61" spans="1:10" x14ac:dyDescent="0.2">
      <c r="A61" s="2" t="s">
        <v>80</v>
      </c>
      <c r="B61" s="3" t="s">
        <v>84</v>
      </c>
      <c r="C61" s="3" t="s">
        <v>236</v>
      </c>
      <c r="D61" s="3" t="s">
        <v>84</v>
      </c>
      <c r="E61" s="3"/>
      <c r="F61" s="1" t="str">
        <f t="shared" si="2"/>
        <v>AATGATACGGCGACCACCGAGATCTACAC TCCTTACG TATGGTAATTGTGTGYC  AGC</v>
      </c>
      <c r="G61" s="3"/>
      <c r="H61" s="3"/>
      <c r="I61" s="3" t="s">
        <v>320</v>
      </c>
      <c r="J61" t="str">
        <f t="shared" si="3"/>
        <v>AATGATACGGCGACCACCGAGATCTACACTCCTTACGTCGTCGGCAGCGTC</v>
      </c>
    </row>
    <row r="62" spans="1:10" x14ac:dyDescent="0.2">
      <c r="A62" s="2" t="s">
        <v>81</v>
      </c>
      <c r="B62" s="3" t="s">
        <v>85</v>
      </c>
      <c r="C62" s="3" t="s">
        <v>237</v>
      </c>
      <c r="D62" s="3" t="s">
        <v>85</v>
      </c>
      <c r="E62" s="3"/>
      <c r="F62" s="1" t="str">
        <f t="shared" si="2"/>
        <v>AATGATACGGCGACCACCGAGATCTACAC ACGCGTGG TATGGTAATTGTGTGYC  AGC</v>
      </c>
      <c r="G62" s="3"/>
      <c r="H62" s="3"/>
      <c r="I62" s="3" t="s">
        <v>321</v>
      </c>
      <c r="J62" t="str">
        <f t="shared" si="3"/>
        <v>AATGATACGGCGACCACCGAGATCTACACACGCGTGGTCGTCGGCAGCGTC</v>
      </c>
    </row>
    <row r="63" spans="1:10" x14ac:dyDescent="0.2">
      <c r="A63" s="2" t="s">
        <v>90</v>
      </c>
      <c r="B63" s="3" t="s">
        <v>86</v>
      </c>
      <c r="C63" s="3" t="s">
        <v>238</v>
      </c>
      <c r="D63" s="3" t="s">
        <v>86</v>
      </c>
      <c r="E63" s="3"/>
      <c r="F63" s="1" t="str">
        <f t="shared" si="2"/>
        <v>AATGATACGGCGACCACCGAGATCTACAC GGAACTCC TATGGTAATTGTGTGYC  AGC</v>
      </c>
      <c r="G63" s="3"/>
      <c r="H63" s="3"/>
      <c r="I63" s="3" t="s">
        <v>322</v>
      </c>
      <c r="J63" t="str">
        <f t="shared" si="3"/>
        <v>AATGATACGGCGACCACCGAGATCTACACGGAACTCCTCGTCGGCAGCGTC</v>
      </c>
    </row>
    <row r="64" spans="1:10" x14ac:dyDescent="0.2">
      <c r="A64" s="2" t="s">
        <v>91</v>
      </c>
      <c r="B64" s="3" t="s">
        <v>87</v>
      </c>
      <c r="C64" s="3" t="s">
        <v>239</v>
      </c>
      <c r="D64" s="3" t="s">
        <v>87</v>
      </c>
      <c r="E64" s="3"/>
      <c r="F64" s="1" t="str">
        <f t="shared" si="2"/>
        <v>AATGATACGGCGACCACCGAGATCTACAC TGGCCATG TATGGTAATTGTGTGYC  AGC</v>
      </c>
      <c r="G64" s="3"/>
      <c r="H64" s="3"/>
      <c r="I64" s="3" t="s">
        <v>323</v>
      </c>
      <c r="J64" t="str">
        <f t="shared" si="3"/>
        <v>AATGATACGGCGACCACCGAGATCTACACTGGCCATGTCGTCGGCAGCGTC</v>
      </c>
    </row>
    <row r="65" spans="1:10" x14ac:dyDescent="0.2">
      <c r="A65" s="2" t="s">
        <v>92</v>
      </c>
      <c r="B65" s="3" t="s">
        <v>88</v>
      </c>
      <c r="C65" s="3" t="s">
        <v>240</v>
      </c>
      <c r="D65" s="3" t="s">
        <v>88</v>
      </c>
      <c r="E65" s="3"/>
      <c r="F65" s="1" t="str">
        <f t="shared" si="2"/>
        <v>AATGATACGGCGACCACCGAGATCTACAC GAGAGATT TATGGTAATTGTGTGYC  AGC</v>
      </c>
      <c r="G65" s="3"/>
      <c r="H65" s="3"/>
      <c r="I65" s="3" t="s">
        <v>324</v>
      </c>
      <c r="J65" t="str">
        <f t="shared" si="3"/>
        <v>AATGATACGGCGACCACCGAGATCTACACGAGAGATTTCGTCGGCAGCGTC</v>
      </c>
    </row>
    <row r="66" spans="1:10" x14ac:dyDescent="0.2">
      <c r="A66" s="2" t="s">
        <v>93</v>
      </c>
      <c r="B66" s="3" t="s">
        <v>89</v>
      </c>
      <c r="C66" s="3" t="s">
        <v>241</v>
      </c>
      <c r="D66" s="3" t="s">
        <v>89</v>
      </c>
      <c r="E66" s="3"/>
      <c r="F66" s="1" t="str">
        <f t="shared" si="2"/>
        <v>AATGATACGGCGACCACCGAGATCTACAC CGCGGTTA TATGGTAATTGTGTGYC  AGC</v>
      </c>
      <c r="G66" s="3"/>
      <c r="H66" s="3"/>
      <c r="I66" s="3" t="s">
        <v>325</v>
      </c>
      <c r="J66" t="str">
        <f t="shared" si="3"/>
        <v>AATGATACGGCGACCACCGAGATCTACACCGCGGTTATCGTCGGCAGCGTC</v>
      </c>
    </row>
    <row r="67" spans="1:10" x14ac:dyDescent="0.2">
      <c r="A67" s="2" t="s">
        <v>102</v>
      </c>
      <c r="B67" s="3" t="s">
        <v>118</v>
      </c>
      <c r="C67" s="3" t="s">
        <v>242</v>
      </c>
      <c r="D67" s="3" t="s">
        <v>118</v>
      </c>
      <c r="E67" s="3"/>
      <c r="F67" s="1" t="str">
        <f t="shared" si="2"/>
        <v>AATGATACGGCGACCACCGAGATCTACAC GACCGCCA TATGGTAATTGTGTGYC  AGC</v>
      </c>
      <c r="G67" s="3"/>
      <c r="I67" s="3" t="s">
        <v>326</v>
      </c>
      <c r="J67" t="str">
        <f t="shared" si="3"/>
        <v>AATGATACGGCGACCACCGAGATCTACACGACCGCCATCGTCGGCAGCGTC</v>
      </c>
    </row>
    <row r="68" spans="1:10" x14ac:dyDescent="0.2">
      <c r="A68" s="2" t="s">
        <v>103</v>
      </c>
      <c r="B68" s="3" t="s">
        <v>119</v>
      </c>
      <c r="C68" s="3" t="s">
        <v>243</v>
      </c>
      <c r="D68" s="3" t="s">
        <v>119</v>
      </c>
      <c r="E68" s="3"/>
      <c r="F68" s="1" t="str">
        <f t="shared" si="2"/>
        <v>AATGATACGGCGACCACCGAGATCTACAC TAAGATGG TATGGTAATTGTGTGYC  AGC</v>
      </c>
      <c r="G68" s="3"/>
      <c r="I68" s="3" t="s">
        <v>327</v>
      </c>
      <c r="J68" t="str">
        <f t="shared" si="3"/>
        <v>AATGATACGGCGACCACCGAGATCTACACTAAGATGGTCGTCGGCAGCGTC</v>
      </c>
    </row>
    <row r="69" spans="1:10" x14ac:dyDescent="0.2">
      <c r="A69" s="2" t="s">
        <v>104</v>
      </c>
      <c r="B69" s="3" t="s">
        <v>120</v>
      </c>
      <c r="C69" s="3" t="s">
        <v>244</v>
      </c>
      <c r="D69" s="3" t="s">
        <v>120</v>
      </c>
      <c r="E69" s="3"/>
      <c r="F69" s="1" t="str">
        <f t="shared" si="2"/>
        <v>AATGATACGGCGACCACCGAGATCTACAC ATTGACAT TATGGTAATTGTGTGYC  AGC</v>
      </c>
      <c r="G69" s="3"/>
      <c r="I69" s="3" t="s">
        <v>328</v>
      </c>
      <c r="J69" t="str">
        <f t="shared" si="3"/>
        <v>AATGATACGGCGACCACCGAGATCTACACATTGACATTCGTCGGCAGCGTC</v>
      </c>
    </row>
    <row r="70" spans="1:10" x14ac:dyDescent="0.2">
      <c r="A70" s="2" t="s">
        <v>105</v>
      </c>
      <c r="B70" s="3" t="s">
        <v>121</v>
      </c>
      <c r="C70" s="3" t="s">
        <v>245</v>
      </c>
      <c r="D70" s="3" t="s">
        <v>121</v>
      </c>
      <c r="E70" s="3"/>
      <c r="F70" s="1" t="str">
        <f t="shared" si="2"/>
        <v>AATGATACGGCGACCACCGAGATCTACAC AGCCAACT TATGGTAATTGTGTGYC  AGC</v>
      </c>
      <c r="G70" s="3"/>
      <c r="I70" s="3" t="s">
        <v>329</v>
      </c>
      <c r="J70" t="str">
        <f t="shared" si="3"/>
        <v>AATGATACGGCGACCACCGAGATCTACACAGCCAACTTCGTCGGCAGCGTC</v>
      </c>
    </row>
    <row r="71" spans="1:10" x14ac:dyDescent="0.2">
      <c r="A71" s="2" t="s">
        <v>106</v>
      </c>
      <c r="B71" s="3" t="s">
        <v>122</v>
      </c>
      <c r="C71" s="3" t="s">
        <v>246</v>
      </c>
      <c r="D71" s="3" t="s">
        <v>122</v>
      </c>
      <c r="E71" s="3"/>
      <c r="F71" s="1" t="str">
        <f t="shared" si="2"/>
        <v>AATGATACGGCGACCACCGAGATCTACAC TACTAGGT TATGGTAATTGTGTGYC  AGC</v>
      </c>
      <c r="G71" s="3"/>
      <c r="I71" s="3" t="s">
        <v>330</v>
      </c>
      <c r="J71" t="str">
        <f t="shared" si="3"/>
        <v>AATGATACGGCGACCACCGAGATCTACACTACTAGGTTCGTCGGCAGCGTC</v>
      </c>
    </row>
    <row r="72" spans="1:10" x14ac:dyDescent="0.2">
      <c r="A72" s="2" t="s">
        <v>107</v>
      </c>
      <c r="B72" s="3" t="s">
        <v>123</v>
      </c>
      <c r="C72" s="3" t="s">
        <v>247</v>
      </c>
      <c r="D72" s="3" t="s">
        <v>123</v>
      </c>
      <c r="E72" s="3"/>
      <c r="F72" s="1" t="str">
        <f t="shared" si="2"/>
        <v>AATGATACGGCGACCACCGAGATCTACAC TCACGGTT TATGGTAATTGTGTGYC  AGC</v>
      </c>
      <c r="G72" s="3"/>
      <c r="I72" s="3" t="s">
        <v>331</v>
      </c>
      <c r="J72" t="str">
        <f t="shared" si="3"/>
        <v>AATGATACGGCGACCACCGAGATCTACACTCACGGTTTCGTCGGCAGCGTC</v>
      </c>
    </row>
    <row r="73" spans="1:10" x14ac:dyDescent="0.2">
      <c r="A73" s="2" t="s">
        <v>108</v>
      </c>
      <c r="B73" s="3" t="s">
        <v>124</v>
      </c>
      <c r="C73" s="3" t="s">
        <v>248</v>
      </c>
      <c r="D73" s="3" t="s">
        <v>124</v>
      </c>
      <c r="E73" s="3"/>
      <c r="F73" s="1" t="str">
        <f t="shared" si="2"/>
        <v>AATGATACGGCGACCACCGAGATCTACAC TGTAATGA TATGGTAATTGTGTGYC  AGC</v>
      </c>
      <c r="G73" s="3"/>
      <c r="I73" s="3" t="s">
        <v>332</v>
      </c>
      <c r="J73" t="str">
        <f t="shared" si="3"/>
        <v>AATGATACGGCGACCACCGAGATCTACACTGTAATGATCGTCGGCAGCGTC</v>
      </c>
    </row>
    <row r="74" spans="1:10" x14ac:dyDescent="0.2">
      <c r="A74" s="2" t="s">
        <v>109</v>
      </c>
      <c r="B74" s="3" t="s">
        <v>125</v>
      </c>
      <c r="C74" s="3" t="s">
        <v>249</v>
      </c>
      <c r="D74" s="3" t="s">
        <v>125</v>
      </c>
      <c r="E74" s="3"/>
      <c r="F74" s="1" t="str">
        <f t="shared" si="2"/>
        <v>AATGATACGGCGACCACCGAGATCTACAC CACGTCAG TATGGTAATTGTGTGYC  AGC</v>
      </c>
      <c r="G74" s="3"/>
      <c r="I74" s="3" t="s">
        <v>333</v>
      </c>
      <c r="J74" t="str">
        <f t="shared" si="3"/>
        <v>AATGATACGGCGACCACCGAGATCTACACCACGTCAGTCGTCGGCAGCGTC</v>
      </c>
    </row>
    <row r="75" spans="1:10" x14ac:dyDescent="0.2">
      <c r="A75" s="2" t="s">
        <v>110</v>
      </c>
      <c r="B75" s="3" t="s">
        <v>94</v>
      </c>
      <c r="C75" s="3" t="s">
        <v>250</v>
      </c>
      <c r="D75" s="3" t="s">
        <v>94</v>
      </c>
      <c r="E75" s="3"/>
      <c r="F75" s="1" t="str">
        <f t="shared" si="2"/>
        <v>AATGATACGGCGACCACCGAGATCTACAC CTGAATTC TATGGTAATTGTGTGYC  AGC</v>
      </c>
      <c r="G75" s="3"/>
      <c r="H75" s="3"/>
      <c r="I75" s="3" t="s">
        <v>334</v>
      </c>
      <c r="J75" t="str">
        <f t="shared" si="3"/>
        <v>AATGATACGGCGACCACCGAGATCTACACCTGAATTCTCGTCGGCAGCGTC</v>
      </c>
    </row>
    <row r="76" spans="1:10" x14ac:dyDescent="0.2">
      <c r="A76" s="2" t="s">
        <v>111</v>
      </c>
      <c r="B76" s="3" t="s">
        <v>95</v>
      </c>
      <c r="C76" s="3" t="s">
        <v>251</v>
      </c>
      <c r="D76" s="3" t="s">
        <v>95</v>
      </c>
      <c r="E76" s="3"/>
      <c r="F76" s="1" t="str">
        <f t="shared" si="2"/>
        <v>AATGATACGGCGACCACCGAGATCTACAC CGTACCGG TATGGTAATTGTGTGYC  AGC</v>
      </c>
      <c r="G76" s="3"/>
      <c r="H76" s="3"/>
      <c r="I76" s="3" t="s">
        <v>335</v>
      </c>
      <c r="J76" t="str">
        <f t="shared" si="3"/>
        <v>AATGATACGGCGACCACCGAGATCTACACCGTACCGGTCGTCGGCAGCGTC</v>
      </c>
    </row>
    <row r="77" spans="1:10" x14ac:dyDescent="0.2">
      <c r="A77" s="2" t="s">
        <v>112</v>
      </c>
      <c r="B77" s="3" t="s">
        <v>96</v>
      </c>
      <c r="C77" s="3" t="s">
        <v>252</v>
      </c>
      <c r="D77" s="3" t="s">
        <v>96</v>
      </c>
      <c r="E77" s="3"/>
      <c r="F77" s="1" t="str">
        <f t="shared" si="2"/>
        <v>AATGATACGGCGACCACCGAGATCTACAC GATGACGG TATGGTAATTGTGTGYC  AGC</v>
      </c>
      <c r="G77" s="3"/>
      <c r="H77" s="3"/>
      <c r="I77" s="3" t="s">
        <v>336</v>
      </c>
      <c r="J77" t="str">
        <f t="shared" si="3"/>
        <v>AATGATACGGCGACCACCGAGATCTACACGATGACGGTCGTCGGCAGCGTC</v>
      </c>
    </row>
    <row r="78" spans="1:10" x14ac:dyDescent="0.2">
      <c r="A78" s="2" t="s">
        <v>113</v>
      </c>
      <c r="B78" s="3" t="s">
        <v>97</v>
      </c>
      <c r="C78" s="3" t="s">
        <v>253</v>
      </c>
      <c r="D78" s="3" t="s">
        <v>97</v>
      </c>
      <c r="E78" s="3"/>
      <c r="F78" s="1" t="str">
        <f t="shared" si="2"/>
        <v>AATGATACGGCGACCACCGAGATCTACAC TATAGACG TATGGTAATTGTGTGYC  AGC</v>
      </c>
      <c r="G78" s="3"/>
      <c r="H78" s="3"/>
      <c r="I78" s="3" t="s">
        <v>337</v>
      </c>
      <c r="J78" t="str">
        <f t="shared" si="3"/>
        <v>AATGATACGGCGACCACCGAGATCTACACTATAGACGTCGTCGGCAGCGTC</v>
      </c>
    </row>
    <row r="79" spans="1:10" x14ac:dyDescent="0.2">
      <c r="A79" s="2" t="s">
        <v>114</v>
      </c>
      <c r="B79" s="3" t="s">
        <v>98</v>
      </c>
      <c r="C79" s="3" t="s">
        <v>254</v>
      </c>
      <c r="D79" s="3" t="s">
        <v>98</v>
      </c>
      <c r="E79" s="3"/>
      <c r="F79" s="1" t="str">
        <f t="shared" si="2"/>
        <v>AATGATACGGCGACCACCGAGATCTACAC GTCATTGA TATGGTAATTGTGTGYC  AGC</v>
      </c>
      <c r="G79" s="3"/>
      <c r="H79" s="3"/>
      <c r="I79" s="3" t="s">
        <v>338</v>
      </c>
      <c r="J79" t="str">
        <f t="shared" si="3"/>
        <v>AATGATACGGCGACCACCGAGATCTACACGTCATTGATCGTCGGCAGCGTC</v>
      </c>
    </row>
    <row r="80" spans="1:10" x14ac:dyDescent="0.2">
      <c r="A80" s="2" t="s">
        <v>115</v>
      </c>
      <c r="B80" s="3" t="s">
        <v>99</v>
      </c>
      <c r="C80" s="3" t="s">
        <v>255</v>
      </c>
      <c r="D80" s="3" t="s">
        <v>99</v>
      </c>
      <c r="E80" s="3"/>
      <c r="F80" s="1" t="str">
        <f t="shared" si="2"/>
        <v>AATGATACGGCGACCACCGAGATCTACAC GCATCGTT TATGGTAATTGTGTGYC  AGC</v>
      </c>
      <c r="G80" s="3"/>
      <c r="H80" s="3"/>
      <c r="I80" s="3" t="s">
        <v>339</v>
      </c>
      <c r="J80" t="str">
        <f t="shared" si="3"/>
        <v>AATGATACGGCGACCACCGAGATCTACACGCATCGTTTCGTCGGCAGCGTC</v>
      </c>
    </row>
    <row r="81" spans="1:10" x14ac:dyDescent="0.2">
      <c r="A81" s="2" t="s">
        <v>116</v>
      </c>
      <c r="B81" s="3" t="s">
        <v>100</v>
      </c>
      <c r="C81" s="3" t="s">
        <v>256</v>
      </c>
      <c r="D81" s="3" t="s">
        <v>100</v>
      </c>
      <c r="E81" s="3"/>
      <c r="F81" s="1" t="str">
        <f t="shared" si="2"/>
        <v>AATGATACGGCGACCACCGAGATCTACAC AGGTTGAC TATGGTAATTGTGTGYC  AGC</v>
      </c>
      <c r="G81" s="3"/>
      <c r="H81" s="3"/>
      <c r="I81" s="3" t="s">
        <v>340</v>
      </c>
      <c r="J81" t="str">
        <f t="shared" si="3"/>
        <v>AATGATACGGCGACCACCGAGATCTACACAGGTTGACTCGTCGGCAGCGTC</v>
      </c>
    </row>
    <row r="82" spans="1:10" x14ac:dyDescent="0.2">
      <c r="A82" s="2" t="s">
        <v>117</v>
      </c>
      <c r="B82" s="3" t="s">
        <v>101</v>
      </c>
      <c r="C82" s="3" t="s">
        <v>257</v>
      </c>
      <c r="D82" s="3" t="s">
        <v>101</v>
      </c>
      <c r="E82" s="3"/>
      <c r="F82" s="1" t="str">
        <f t="shared" si="2"/>
        <v>AATGATACGGCGACCACCGAGATCTACAC TGAAACTG TATGGTAATTGTGTGYC  AGC</v>
      </c>
      <c r="G82" s="3"/>
      <c r="H82" s="3"/>
      <c r="I82" s="3" t="s">
        <v>341</v>
      </c>
      <c r="J82" t="str">
        <f t="shared" si="3"/>
        <v>AATGATACGGCGACCACCGAGATCTACACTGAAACTGTCGTCGGCAGCGTC</v>
      </c>
    </row>
    <row r="83" spans="1:10" x14ac:dyDescent="0.2">
      <c r="B83" s="3"/>
      <c r="C83" s="3"/>
      <c r="D83" s="3"/>
      <c r="E83" s="3"/>
      <c r="F83" s="3"/>
      <c r="G83" s="3"/>
      <c r="H8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adapter structure</vt:lpstr>
      <vt:lpstr>adapter index</vt:lpstr>
      <vt:lpstr>'adapter index'!tmp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2019-09-19T23:27:49Z</dcterms:created>
  <dcterms:modified xsi:type="dcterms:W3CDTF">2021-02-26T15:44:03Z</dcterms:modified>
</cp:coreProperties>
</file>