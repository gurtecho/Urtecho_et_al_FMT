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3-18_JxE_replication/metadata/qpcr/"/>
    </mc:Choice>
  </mc:AlternateContent>
  <xr:revisionPtr revIDLastSave="0" documentId="13_ncr:1_{8F133C46-933D-7C4C-B14C-D83F249FD321}" xr6:coauthVersionLast="46" xr6:coauthVersionMax="46" xr10:uidLastSave="{00000000-0000-0000-0000-000000000000}"/>
  <bookViews>
    <workbookView xWindow="3180" yWindow="2020" windowWidth="24820" windowHeight="13220" xr2:uid="{C8FAE0A8-EE14-1444-B008-5AD80121C4B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20" i="1" l="1"/>
  <c r="E20" i="1" s="1"/>
  <c r="D14" i="1" l="1"/>
  <c r="E14" i="1" s="1"/>
  <c r="D15" i="1"/>
  <c r="E15" i="1" s="1"/>
  <c r="D7" i="1"/>
  <c r="E7" i="1" s="1"/>
  <c r="D10" i="1"/>
  <c r="E10" i="1" s="1"/>
  <c r="D2" i="1"/>
  <c r="E2" i="1" s="1"/>
  <c r="D18" i="1"/>
  <c r="E18" i="1" s="1"/>
  <c r="D19" i="1"/>
  <c r="E19" i="1" s="1"/>
  <c r="D3" i="1"/>
  <c r="E3" i="1" s="1"/>
  <c r="D12" i="1"/>
  <c r="E12" i="1" s="1"/>
  <c r="D8" i="1"/>
  <c r="E8" i="1" s="1"/>
  <c r="D4" i="1"/>
  <c r="E4" i="1" s="1"/>
  <c r="D6" i="1"/>
  <c r="E6" i="1" s="1"/>
  <c r="D11" i="1"/>
  <c r="E11" i="1" s="1"/>
  <c r="D13" i="1"/>
  <c r="E13" i="1" s="1"/>
  <c r="D17" i="1"/>
  <c r="E17" i="1" s="1"/>
  <c r="D9" i="1"/>
  <c r="E9" i="1" s="1"/>
  <c r="D16" i="1"/>
  <c r="E16" i="1" s="1"/>
  <c r="D5" i="1"/>
  <c r="E5" i="1" s="1"/>
</calcChain>
</file>

<file path=xl/sharedStrings.xml><?xml version="1.0" encoding="utf-8"?>
<sst xmlns="http://schemas.openxmlformats.org/spreadsheetml/2006/main" count="25" uniqueCount="25">
  <si>
    <t>Well</t>
  </si>
  <si>
    <t>final RFU increase</t>
  </si>
  <si>
    <t>scale factor</t>
  </si>
  <si>
    <t>ratio</t>
  </si>
  <si>
    <t>vol_add</t>
  </si>
  <si>
    <t>added</t>
  </si>
  <si>
    <t>H12</t>
  </si>
  <si>
    <t>A1</t>
  </si>
  <si>
    <t>G8</t>
  </si>
  <si>
    <t>H11</t>
  </si>
  <si>
    <t>C4</t>
  </si>
  <si>
    <t>C8</t>
  </si>
  <si>
    <t>F8</t>
  </si>
  <si>
    <t>B8</t>
  </si>
  <si>
    <t>E8</t>
  </si>
  <si>
    <t>H8</t>
  </si>
  <si>
    <t>D8</t>
  </si>
  <si>
    <t>A8</t>
  </si>
  <si>
    <t>F5</t>
  </si>
  <si>
    <t>B1</t>
  </si>
  <si>
    <t>D12</t>
  </si>
  <si>
    <t>A2</t>
  </si>
  <si>
    <t>E2</t>
  </si>
  <si>
    <t>G4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</si>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</sst>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2" xfId="0" applyFont="1" applyBorder="1"/>
    <xf numFmtId="43" fontId="2" fillId="0" borderId="1" xfId="1" applyFont="1" applyBorder="1"/>
    <xf numFmtId="10" fontId="2" fillId="0" borderId="1" xfId="2" applyNumberFormat="1" applyFont="1" applyBorder="1"/>
    <xf numFmtId="0" fontId="2" fillId="2" borderId="2" xfId="0" applyFont="1" applyFill="1" applyBorder="1"/>
    <xf numFmtId="43" fontId="2" fillId="2" borderId="1" xfId="1" applyFont="1" applyFill="1" applyBorder="1"/>
    <xf numFmtId="10" fontId="2" fillId="2" borderId="1" xfId="2" applyNumberFormat="1" applyFont="1" applyFill="1" applyBorder="1"/>
    <xf numFmtId="0" fontId="2" fillId="2" borderId="1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05-06_FMTREDO_P1_Pool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DNA plate-4"/>
    </sheetNames>
    <sheetDataSet>
      <sheetData sheetId="0">
        <row r="8">
          <cell r="I8">
            <v>700</v>
          </cell>
        </row>
        <row r="78">
          <cell r="C78">
            <v>734.52885802104379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DDD1D-0E22-9844-8DCE-31D7E14D1806}">
  <dimension ref="A1:G20"/>
  <sheetViews>
    <sheetView tabSelected="1" workbookViewId="0">
      <selection activeCell="F2" activeCellId="1" sqref="A2:A20 F2:F20"/>
    </sheetView>
  </sheetViews>
  <sheetFormatPr baseColWidth="10" defaultRowHeight="16" x14ac:dyDescent="0.2"/>
  <cols>
    <col min="2" max="2" width="19.83203125" customWidth="1"/>
    <col min="3" max="3" width="15.33203125" customWidth="1"/>
    <col min="4" max="4" width="14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</row>
    <row r="2" spans="1:7" x14ac:dyDescent="0.2">
      <c r="A2" s="1" t="s">
        <v>21</v>
      </c>
      <c r="B2">
        <v>45.380360798535037</v>
      </c>
      <c r="C2" s="4">
        <f t="shared" ref="C2:C20" si="0">1000/B2</f>
        <v>22.035964069115156</v>
      </c>
      <c r="D2" s="5">
        <f>C2/'[1]gDNA plate-4'!$C$78</f>
        <v>3.0000133866059542E-2</v>
      </c>
      <c r="E2" s="1">
        <f>D2*'[1]gDNA plate-4'!$I$8</f>
        <v>21.000093706241678</v>
      </c>
      <c r="F2">
        <v>20</v>
      </c>
    </row>
    <row r="3" spans="1:7" x14ac:dyDescent="0.2">
      <c r="A3" s="1" t="s">
        <v>7</v>
      </c>
      <c r="B3">
        <v>39.058697944833497</v>
      </c>
      <c r="C3" s="4">
        <f t="shared" si="0"/>
        <v>25.602491957422647</v>
      </c>
      <c r="D3" s="5">
        <f>C3/'[1]gDNA plate-4'!$C$78</f>
        <v>3.4855665203407368E-2</v>
      </c>
      <c r="E3" s="1">
        <f>D3*'[1]gDNA plate-4'!$I$8</f>
        <v>24.398965642385157</v>
      </c>
      <c r="F3">
        <v>20</v>
      </c>
    </row>
    <row r="4" spans="1:7" x14ac:dyDescent="0.2">
      <c r="A4" s="1" t="s">
        <v>22</v>
      </c>
      <c r="B4">
        <v>37.658067253258196</v>
      </c>
      <c r="C4" s="4">
        <f t="shared" si="0"/>
        <v>26.554735092345439</v>
      </c>
      <c r="D4" s="5">
        <f>C4/'[1]gDNA plate-4'!$C$78</f>
        <v>3.6152065099101474E-2</v>
      </c>
      <c r="E4" s="1">
        <f>D4*'[1]gDNA plate-4'!$I$8</f>
        <v>25.306445569371032</v>
      </c>
      <c r="F4">
        <v>20</v>
      </c>
    </row>
    <row r="5" spans="1:7" x14ac:dyDescent="0.2">
      <c r="A5" s="1" t="s">
        <v>23</v>
      </c>
      <c r="B5">
        <v>37.630914831227983</v>
      </c>
      <c r="C5" s="4">
        <f t="shared" si="0"/>
        <v>26.57389554532304</v>
      </c>
      <c r="D5" s="5">
        <f>C5/'[1]gDNA plate-4'!$C$78</f>
        <v>3.6178150463574726E-2</v>
      </c>
      <c r="E5" s="1">
        <f>D5*'[1]gDNA plate-4'!$I$8</f>
        <v>25.324705324502307</v>
      </c>
      <c r="F5">
        <v>20</v>
      </c>
    </row>
    <row r="6" spans="1:7" x14ac:dyDescent="0.2">
      <c r="A6" s="1" t="s">
        <v>24</v>
      </c>
      <c r="B6">
        <v>37.472861677076303</v>
      </c>
      <c r="C6" s="4">
        <f t="shared" si="0"/>
        <v>26.685979005754486</v>
      </c>
      <c r="D6" s="5">
        <f>C6/'[1]gDNA plate-4'!$C$78</f>
        <v>3.633074278068725E-2</v>
      </c>
      <c r="E6" s="1">
        <f>D6*'[1]gDNA plate-4'!$I$8</f>
        <v>25.431519946481075</v>
      </c>
      <c r="F6">
        <v>20</v>
      </c>
    </row>
    <row r="7" spans="1:7" x14ac:dyDescent="0.2">
      <c r="A7" s="1" t="s">
        <v>15</v>
      </c>
      <c r="B7">
        <v>36.24483941677795</v>
      </c>
      <c r="C7" s="4">
        <f t="shared" si="0"/>
        <v>27.590134653406523</v>
      </c>
      <c r="D7" s="5">
        <f>C7/'[1]gDNA plate-4'!$C$78</f>
        <v>3.7561675558587901E-2</v>
      </c>
      <c r="E7" s="1">
        <f>D7*'[1]gDNA plate-4'!$I$8</f>
        <v>26.29317289101153</v>
      </c>
      <c r="F7">
        <v>20</v>
      </c>
    </row>
    <row r="8" spans="1:7" x14ac:dyDescent="0.2">
      <c r="A8" s="1" t="s">
        <v>18</v>
      </c>
      <c r="B8">
        <v>35.014269866619493</v>
      </c>
      <c r="C8" s="4">
        <f t="shared" si="0"/>
        <v>28.559784448149813</v>
      </c>
      <c r="D8" s="5">
        <f>C8/'[1]gDNA plate-4'!$C$78</f>
        <v>3.8881773175114098E-2</v>
      </c>
      <c r="E8" s="1">
        <f>D8*'[1]gDNA plate-4'!$I$8</f>
        <v>27.217241222579869</v>
      </c>
      <c r="F8">
        <v>20</v>
      </c>
    </row>
    <row r="9" spans="1:7" x14ac:dyDescent="0.2">
      <c r="A9" s="2" t="s">
        <v>19</v>
      </c>
      <c r="B9">
        <v>33.969306148930102</v>
      </c>
      <c r="C9" s="4">
        <f t="shared" si="0"/>
        <v>29.438340471711285</v>
      </c>
      <c r="D9" s="5">
        <f>C9/'[1]gDNA plate-4'!$C$78</f>
        <v>4.0077854192173745E-2</v>
      </c>
      <c r="E9" s="1">
        <f>D9*'[1]gDNA plate-4'!$I$8</f>
        <v>28.054497934521621</v>
      </c>
      <c r="F9">
        <v>20</v>
      </c>
    </row>
    <row r="10" spans="1:7" x14ac:dyDescent="0.2">
      <c r="A10" s="2" t="s">
        <v>20</v>
      </c>
      <c r="B10">
        <v>26.752704064774207</v>
      </c>
      <c r="C10" s="4">
        <f t="shared" si="0"/>
        <v>37.379399016218287</v>
      </c>
      <c r="D10" s="5">
        <f>C10/'[1]gDNA plate-4'!$C$78</f>
        <v>5.0888945489392046E-2</v>
      </c>
      <c r="E10" s="1">
        <f>D10*'[1]gDNA plate-4'!$I$8</f>
        <v>35.622261842574432</v>
      </c>
      <c r="F10">
        <v>20</v>
      </c>
    </row>
    <row r="11" spans="1:7" x14ac:dyDescent="0.2">
      <c r="A11" s="6" t="s">
        <v>6</v>
      </c>
      <c r="B11">
        <v>-7.2940455488342195</v>
      </c>
      <c r="C11" s="7">
        <f t="shared" si="0"/>
        <v>-137.0981293309618</v>
      </c>
      <c r="D11" s="8">
        <f>C11/'[1]gDNA plate-4'!$C$78</f>
        <v>-0.18664771007136391</v>
      </c>
      <c r="E11" s="9">
        <f>D11*'[1]gDNA plate-4'!$I$8</f>
        <v>-130.65339704995475</v>
      </c>
      <c r="F11">
        <v>20</v>
      </c>
    </row>
    <row r="12" spans="1:7" x14ac:dyDescent="0.2">
      <c r="A12" s="2" t="s">
        <v>9</v>
      </c>
      <c r="B12">
        <v>16.879528392935015</v>
      </c>
      <c r="C12" s="4">
        <f t="shared" si="0"/>
        <v>59.243361349986145</v>
      </c>
      <c r="D12" s="5">
        <f>C12/'[1]gDNA plate-4'!$C$78</f>
        <v>8.0654913286318922E-2</v>
      </c>
      <c r="E12" s="1">
        <f>D12*'[1]gDNA plate-4'!$I$8</f>
        <v>56.458439300423244</v>
      </c>
      <c r="F12">
        <v>20</v>
      </c>
    </row>
    <row r="13" spans="1:7" x14ac:dyDescent="0.2">
      <c r="A13" s="2" t="s">
        <v>10</v>
      </c>
      <c r="B13">
        <v>12.854035422663799</v>
      </c>
      <c r="C13" s="4">
        <f t="shared" si="0"/>
        <v>77.796580382595963</v>
      </c>
      <c r="D13" s="5">
        <f>C13/'[1]gDNA plate-4'!$C$78</f>
        <v>0.1059135792053076</v>
      </c>
      <c r="E13" s="1">
        <f>D13*'[1]gDNA plate-4'!$I$8</f>
        <v>74.139505443715322</v>
      </c>
      <c r="F13">
        <v>20</v>
      </c>
    </row>
    <row r="14" spans="1:7" x14ac:dyDescent="0.2">
      <c r="A14" s="2" t="s">
        <v>11</v>
      </c>
      <c r="B14">
        <v>12.773543480913723</v>
      </c>
      <c r="C14" s="4">
        <f t="shared" si="0"/>
        <v>78.28681222984082</v>
      </c>
      <c r="D14" s="5">
        <f>C14/'[1]gDNA plate-4'!$C$78</f>
        <v>0.1065809891264993</v>
      </c>
      <c r="E14" s="1">
        <f>D14*'[1]gDNA plate-4'!$I$8</f>
        <v>74.606692388549504</v>
      </c>
      <c r="F14">
        <v>20</v>
      </c>
    </row>
    <row r="15" spans="1:7" x14ac:dyDescent="0.2">
      <c r="A15" s="2" t="s">
        <v>12</v>
      </c>
      <c r="B15">
        <v>8.4991324272204807</v>
      </c>
      <c r="C15" s="4">
        <f t="shared" si="0"/>
        <v>117.65906797701652</v>
      </c>
      <c r="D15" s="5">
        <f>C15/'[1]gDNA plate-4'!$C$78</f>
        <v>0.16018304344639603</v>
      </c>
      <c r="E15" s="1">
        <f>D15*'[1]gDNA plate-4'!$I$8</f>
        <v>112.12813041247722</v>
      </c>
      <c r="F15">
        <v>20</v>
      </c>
    </row>
    <row r="16" spans="1:7" x14ac:dyDescent="0.2">
      <c r="A16" s="2" t="s">
        <v>13</v>
      </c>
      <c r="B16">
        <v>8.3763614346007991</v>
      </c>
      <c r="C16" s="4">
        <f t="shared" si="0"/>
        <v>119.38357815712594</v>
      </c>
      <c r="D16" s="5">
        <f>C16/'[1]gDNA plate-4'!$C$78</f>
        <v>0.16253082074782918</v>
      </c>
      <c r="E16" s="1">
        <f>D16*'[1]gDNA plate-4'!$I$8</f>
        <v>113.77157452348042</v>
      </c>
      <c r="F16">
        <v>20</v>
      </c>
    </row>
    <row r="17" spans="1:6" x14ac:dyDescent="0.2">
      <c r="A17" s="2" t="s">
        <v>14</v>
      </c>
      <c r="B17">
        <v>6.3717535040368602</v>
      </c>
      <c r="C17" s="4">
        <f t="shared" si="0"/>
        <v>156.9426688220824</v>
      </c>
      <c r="D17" s="5">
        <f>C17/'[1]gDNA plate-4'!$C$78</f>
        <v>0.21366440148439489</v>
      </c>
      <c r="E17" s="1">
        <f>D17*'[1]gDNA plate-4'!$I$8</f>
        <v>149.56508103907643</v>
      </c>
      <c r="F17">
        <v>20</v>
      </c>
    </row>
    <row r="18" spans="1:6" x14ac:dyDescent="0.2">
      <c r="A18" s="2" t="s">
        <v>16</v>
      </c>
      <c r="B18">
        <v>4.6724865593887497</v>
      </c>
      <c r="C18" s="4">
        <f t="shared" si="0"/>
        <v>214.01880717893795</v>
      </c>
      <c r="D18" s="5">
        <f>C18/'[1]gDNA plate-4'!$C$78</f>
        <v>0.29136882076429793</v>
      </c>
      <c r="E18" s="1">
        <f>D18*'[1]gDNA plate-4'!$I$8</f>
        <v>203.95817453500854</v>
      </c>
      <c r="F18">
        <v>20</v>
      </c>
    </row>
    <row r="19" spans="1:6" x14ac:dyDescent="0.2">
      <c r="A19" s="2" t="s">
        <v>17</v>
      </c>
      <c r="B19">
        <v>4.02622602737938</v>
      </c>
      <c r="C19" s="4">
        <f t="shared" si="0"/>
        <v>248.37155023084668</v>
      </c>
      <c r="D19" s="5">
        <f>C19/'[1]gDNA plate-4'!$C$78</f>
        <v>0.33813722567688553</v>
      </c>
      <c r="E19" s="1">
        <f>D19*'[1]gDNA plate-4'!$I$8</f>
        <v>236.69605797381988</v>
      </c>
      <c r="F19">
        <v>20</v>
      </c>
    </row>
    <row r="20" spans="1:6" x14ac:dyDescent="0.2">
      <c r="A20" s="2" t="s">
        <v>8</v>
      </c>
      <c r="B20">
        <v>1.9068873492460607</v>
      </c>
      <c r="C20" s="4">
        <f t="shared" si="0"/>
        <v>524.4148273338626</v>
      </c>
      <c r="D20" s="5">
        <f>C20/'[1]gDNA plate-4'!$C$78</f>
        <v>0.71394720793779687</v>
      </c>
      <c r="E20" s="1">
        <f>D20*'[1]gDNA plate-4'!$I$8</f>
        <v>499.76304555645783</v>
      </c>
      <c r="F20">
        <v>20</v>
      </c>
    </row>
  </sheetData>
  <conditionalFormatting sqref="E2:E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7:E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2021-05-06T19:20:45Z</dcterms:created>
  <dcterms:modified xsi:type="dcterms:W3CDTF">2021-05-06T19:55:12Z</dcterms:modified>
</cp:coreProperties>
</file>