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3-18_JxE_replication/metadata/qpcr/"/>
    </mc:Choice>
  </mc:AlternateContent>
  <xr:revisionPtr revIDLastSave="0" documentId="13_ncr:1_{23622911-D0E9-3641-8042-A7355E8904D6}" xr6:coauthVersionLast="46" xr6:coauthVersionMax="46" xr10:uidLastSave="{00000000-0000-0000-0000-000000000000}"/>
  <bookViews>
    <workbookView xWindow="14420" yWindow="4180" windowWidth="14380" windowHeight="15720" xr2:uid="{2FC84CC7-B298-0945-863E-C735789D28D9}"/>
  </bookViews>
  <sheets>
    <sheet name="gDNA plate-4" sheetId="1" r:id="rId1"/>
  </sheets>
  <definedNames>
    <definedName name="_xlnm._FilterDatabase" localSheetId="0" hidden="1">'gDNA plate-4'!$A$1:$F$97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6" i="1" l="1"/>
  <c r="C66" i="1"/>
  <c r="C27" i="1"/>
  <c r="C56" i="1"/>
  <c r="C48" i="1"/>
  <c r="C8" i="1"/>
  <c r="C64" i="1"/>
  <c r="C7" i="1"/>
  <c r="C37" i="1"/>
  <c r="C47" i="1"/>
  <c r="C38" i="1"/>
  <c r="C22" i="1"/>
  <c r="C73" i="1"/>
  <c r="C30" i="1"/>
  <c r="C24" i="1"/>
  <c r="C58" i="1"/>
  <c r="C33" i="1"/>
  <c r="C65" i="1"/>
  <c r="C51" i="1"/>
  <c r="C28" i="1"/>
  <c r="C67" i="1"/>
  <c r="C31" i="1"/>
  <c r="C44" i="1"/>
  <c r="C29" i="1"/>
  <c r="C34" i="1"/>
  <c r="C45" i="1"/>
  <c r="C6" i="1"/>
  <c r="C35" i="1"/>
  <c r="C39" i="1"/>
  <c r="C53" i="1"/>
  <c r="C59" i="1"/>
  <c r="C26" i="1"/>
  <c r="C49" i="1"/>
  <c r="C42" i="1"/>
  <c r="C52" i="1"/>
  <c r="C69" i="1"/>
  <c r="C13" i="1"/>
  <c r="C46" i="1"/>
  <c r="C36" i="1"/>
  <c r="C55" i="1"/>
  <c r="C50" i="1"/>
  <c r="C61" i="1"/>
  <c r="C9" i="1"/>
  <c r="C62" i="1"/>
  <c r="C4" i="1"/>
  <c r="C77" i="1"/>
  <c r="C25" i="1"/>
  <c r="C17" i="1"/>
  <c r="C15" i="1"/>
  <c r="C41" i="1"/>
  <c r="C57" i="1"/>
  <c r="C11" i="1"/>
  <c r="C68" i="1"/>
  <c r="C19" i="1"/>
  <c r="C3" i="1"/>
  <c r="C5" i="1"/>
  <c r="C32" i="1"/>
  <c r="C70" i="1"/>
  <c r="C12" i="1"/>
  <c r="C10" i="1"/>
  <c r="C21" i="1"/>
  <c r="C40" i="1"/>
  <c r="C71" i="1"/>
  <c r="C20" i="1"/>
  <c r="C54" i="1"/>
  <c r="C14" i="1"/>
  <c r="C2" i="1"/>
  <c r="C72" i="1"/>
  <c r="C43" i="1"/>
  <c r="C60" i="1"/>
  <c r="C74" i="1"/>
  <c r="C18" i="1"/>
  <c r="C16" i="1"/>
  <c r="C63" i="1"/>
  <c r="C23" i="1"/>
  <c r="C75" i="1"/>
  <c r="C78" i="1" l="1"/>
  <c r="D64" i="1" s="1"/>
  <c r="E64" i="1" s="1"/>
  <c r="F64" i="1" s="1"/>
  <c r="D35" i="1" l="1"/>
  <c r="E35" i="1" s="1"/>
  <c r="F35" i="1" s="1"/>
  <c r="D23" i="1"/>
  <c r="E23" i="1" s="1"/>
  <c r="F23" i="1" s="1"/>
  <c r="D68" i="1"/>
  <c r="E68" i="1" s="1"/>
  <c r="F68" i="1" s="1"/>
  <c r="D71" i="1"/>
  <c r="E71" i="1" s="1"/>
  <c r="F71" i="1" s="1"/>
  <c r="D9" i="1"/>
  <c r="E9" i="1" s="1"/>
  <c r="F9" i="1" s="1"/>
  <c r="D53" i="1"/>
  <c r="E53" i="1" s="1"/>
  <c r="F53" i="1" s="1"/>
  <c r="D13" i="1"/>
  <c r="E13" i="1" s="1"/>
  <c r="F13" i="1" s="1"/>
  <c r="D28" i="1"/>
  <c r="E28" i="1" s="1"/>
  <c r="F28" i="1" s="1"/>
  <c r="D24" i="1"/>
  <c r="E24" i="1" s="1"/>
  <c r="F24" i="1" s="1"/>
  <c r="D10" i="1"/>
  <c r="E10" i="1" s="1"/>
  <c r="F10" i="1" s="1"/>
  <c r="D38" i="1"/>
  <c r="E38" i="1" s="1"/>
  <c r="F38" i="1" s="1"/>
  <c r="D46" i="1"/>
  <c r="E46" i="1" s="1"/>
  <c r="F46" i="1" s="1"/>
  <c r="D60" i="1"/>
  <c r="E60" i="1" s="1"/>
  <c r="F60" i="1" s="1"/>
  <c r="D74" i="1"/>
  <c r="E74" i="1" s="1"/>
  <c r="F74" i="1" s="1"/>
  <c r="D6" i="1"/>
  <c r="E6" i="1" s="1"/>
  <c r="F6" i="1" s="1"/>
  <c r="D72" i="1"/>
  <c r="E72" i="1" s="1"/>
  <c r="F72" i="1" s="1"/>
  <c r="D57" i="1"/>
  <c r="E57" i="1" s="1"/>
  <c r="F57" i="1" s="1"/>
  <c r="D77" i="1"/>
  <c r="E77" i="1" s="1"/>
  <c r="F77" i="1" s="1"/>
  <c r="D36" i="1"/>
  <c r="E36" i="1" s="1"/>
  <c r="F36" i="1" s="1"/>
  <c r="D27" i="1"/>
  <c r="E27" i="1" s="1"/>
  <c r="F27" i="1" s="1"/>
  <c r="D62" i="1"/>
  <c r="E62" i="1" s="1"/>
  <c r="F62" i="1" s="1"/>
  <c r="D51" i="1"/>
  <c r="E51" i="1" s="1"/>
  <c r="F51" i="1" s="1"/>
  <c r="D52" i="1"/>
  <c r="E52" i="1" s="1"/>
  <c r="F52" i="1" s="1"/>
  <c r="D39" i="1"/>
  <c r="E39" i="1" s="1"/>
  <c r="F39" i="1" s="1"/>
  <c r="D43" i="1"/>
  <c r="E43" i="1" s="1"/>
  <c r="F43" i="1" s="1"/>
  <c r="D2" i="1"/>
  <c r="E2" i="1" s="1"/>
  <c r="F2" i="1" s="1"/>
  <c r="D12" i="1"/>
  <c r="E12" i="1" s="1"/>
  <c r="F12" i="1" s="1"/>
  <c r="D22" i="1"/>
  <c r="E22" i="1" s="1"/>
  <c r="F22" i="1" s="1"/>
  <c r="D21" i="1"/>
  <c r="E21" i="1" s="1"/>
  <c r="F21" i="1" s="1"/>
  <c r="D7" i="1"/>
  <c r="E7" i="1" s="1"/>
  <c r="F7" i="1" s="1"/>
  <c r="D55" i="1"/>
  <c r="E55" i="1" s="1"/>
  <c r="F55" i="1" s="1"/>
  <c r="D18" i="1"/>
  <c r="E18" i="1" s="1"/>
  <c r="F18" i="1" s="1"/>
  <c r="D37" i="1"/>
  <c r="E37" i="1" s="1"/>
  <c r="F37" i="1" s="1"/>
  <c r="D50" i="1"/>
  <c r="E50" i="1" s="1"/>
  <c r="F50" i="1" s="1"/>
  <c r="D54" i="1"/>
  <c r="E54" i="1" s="1"/>
  <c r="F54" i="1" s="1"/>
  <c r="D58" i="1"/>
  <c r="E58" i="1" s="1"/>
  <c r="F58" i="1" s="1"/>
  <c r="D17" i="1"/>
  <c r="E17" i="1" s="1"/>
  <c r="F17" i="1" s="1"/>
  <c r="D26" i="1"/>
  <c r="E26" i="1" s="1"/>
  <c r="F26" i="1" s="1"/>
  <c r="D20" i="1"/>
  <c r="E20" i="1" s="1"/>
  <c r="F20" i="1" s="1"/>
  <c r="D34" i="1"/>
  <c r="E34" i="1" s="1"/>
  <c r="F34" i="1" s="1"/>
  <c r="D32" i="1"/>
  <c r="E32" i="1" s="1"/>
  <c r="F32" i="1" s="1"/>
  <c r="D66" i="1"/>
  <c r="E66" i="1" s="1"/>
  <c r="F66" i="1" s="1"/>
  <c r="D47" i="1"/>
  <c r="E47" i="1" s="1"/>
  <c r="F47" i="1" s="1"/>
  <c r="D65" i="1"/>
  <c r="E65" i="1" s="1"/>
  <c r="F65" i="1" s="1"/>
  <c r="D45" i="1"/>
  <c r="E45" i="1" s="1"/>
  <c r="F45" i="1" s="1"/>
  <c r="D42" i="1"/>
  <c r="E42" i="1" s="1"/>
  <c r="F42" i="1" s="1"/>
  <c r="D61" i="1"/>
  <c r="E61" i="1" s="1"/>
  <c r="F61" i="1" s="1"/>
  <c r="D41" i="1"/>
  <c r="E41" i="1" s="1"/>
  <c r="F41" i="1" s="1"/>
  <c r="D70" i="1"/>
  <c r="E70" i="1" s="1"/>
  <c r="F70" i="1" s="1"/>
  <c r="D14" i="1"/>
  <c r="E14" i="1" s="1"/>
  <c r="F14" i="1" s="1"/>
  <c r="D63" i="1"/>
  <c r="E63" i="1" s="1"/>
  <c r="F63" i="1" s="1"/>
  <c r="D29" i="1"/>
  <c r="E29" i="1" s="1"/>
  <c r="F29" i="1" s="1"/>
  <c r="D5" i="1"/>
  <c r="E5" i="1" s="1"/>
  <c r="F5" i="1" s="1"/>
  <c r="D76" i="1"/>
  <c r="E76" i="1" s="1"/>
  <c r="F76" i="1" s="1"/>
  <c r="D33" i="1"/>
  <c r="E33" i="1" s="1"/>
  <c r="F33" i="1" s="1"/>
  <c r="D49" i="1"/>
  <c r="E49" i="1" s="1"/>
  <c r="F49" i="1" s="1"/>
  <c r="D15" i="1"/>
  <c r="E15" i="1" s="1"/>
  <c r="F15" i="1" s="1"/>
  <c r="D16" i="1"/>
  <c r="E16" i="1" s="1"/>
  <c r="F16" i="1" s="1"/>
  <c r="D67" i="1"/>
  <c r="E67" i="1" s="1"/>
  <c r="F67" i="1" s="1"/>
  <c r="D11" i="1"/>
  <c r="E11" i="1" s="1"/>
  <c r="F11" i="1" s="1"/>
  <c r="D59" i="1"/>
  <c r="E59" i="1" s="1"/>
  <c r="F59" i="1" s="1"/>
  <c r="D73" i="1"/>
  <c r="E73" i="1" s="1"/>
  <c r="F73" i="1" s="1"/>
  <c r="D8" i="1"/>
  <c r="E8" i="1" s="1"/>
  <c r="F8" i="1" s="1"/>
  <c r="D4" i="1"/>
  <c r="E4" i="1" s="1"/>
  <c r="F4" i="1" s="1"/>
  <c r="D48" i="1"/>
  <c r="E48" i="1" s="1"/>
  <c r="F48" i="1" s="1"/>
  <c r="D40" i="1"/>
  <c r="E40" i="1" s="1"/>
  <c r="F40" i="1" s="1"/>
  <c r="D31" i="1"/>
  <c r="E31" i="1" s="1"/>
  <c r="F31" i="1" s="1"/>
  <c r="D44" i="1"/>
  <c r="E44" i="1" s="1"/>
  <c r="F44" i="1" s="1"/>
  <c r="D56" i="1"/>
  <c r="E56" i="1" s="1"/>
  <c r="F56" i="1" s="1"/>
  <c r="D19" i="1"/>
  <c r="E19" i="1" s="1"/>
  <c r="F19" i="1" s="1"/>
  <c r="D69" i="1"/>
  <c r="E69" i="1" s="1"/>
  <c r="F69" i="1" s="1"/>
  <c r="D3" i="1"/>
  <c r="E3" i="1" s="1"/>
  <c r="F3" i="1" s="1"/>
  <c r="D30" i="1"/>
  <c r="E30" i="1" s="1"/>
  <c r="F30" i="1" s="1"/>
  <c r="D25" i="1"/>
  <c r="E25" i="1" s="1"/>
  <c r="F25" i="1" s="1"/>
  <c r="D75" i="1"/>
  <c r="E75" i="1" s="1"/>
  <c r="F75" i="1" s="1"/>
  <c r="E101" i="1" l="1"/>
  <c r="F78" i="1"/>
  <c r="F101" i="1"/>
  <c r="D78" i="1"/>
  <c r="E100" i="1"/>
  <c r="F100" i="1"/>
</calcChain>
</file>

<file path=xl/sharedStrings.xml><?xml version="1.0" encoding="utf-8"?>
<sst xmlns="http://schemas.openxmlformats.org/spreadsheetml/2006/main" count="85" uniqueCount="85">
  <si>
    <t>Well</t>
  </si>
  <si>
    <t>final RFU increase</t>
  </si>
  <si>
    <t>scale factor</t>
  </si>
  <si>
    <t>ratio</t>
  </si>
  <si>
    <t>A4</t>
  </si>
  <si>
    <t>A5</t>
  </si>
  <si>
    <t>A6</t>
  </si>
  <si>
    <t>A7</t>
  </si>
  <si>
    <t>A9</t>
  </si>
  <si>
    <t>A10</t>
  </si>
  <si>
    <t>A11</t>
  </si>
  <si>
    <t>B2</t>
  </si>
  <si>
    <t>B3</t>
  </si>
  <si>
    <t>B4</t>
  </si>
  <si>
    <t>B5</t>
  </si>
  <si>
    <t>B6</t>
  </si>
  <si>
    <t>B7</t>
  </si>
  <si>
    <t>B9</t>
  </si>
  <si>
    <t>B10</t>
  </si>
  <si>
    <t>B11</t>
  </si>
  <si>
    <t>C1</t>
  </si>
  <si>
    <t>C2</t>
  </si>
  <si>
    <t>C3</t>
  </si>
  <si>
    <t>C5</t>
  </si>
  <si>
    <t>C6</t>
  </si>
  <si>
    <t>C7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</si>
  <si>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</si>
  <si>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</si>
  <si>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</si>
  <si>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</si>
  <si>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</si>
  <si>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</si>
  <si>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</si>
  <si>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</si>
  <si>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</si>
  <si>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</si>
  <si>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D9</t>
  </si>
  <si>
    <t>D10</t>
  </si>
  <si>
    <t>D11</t>
  </si>
  <si>
    <t>E1</t>
  </si>
  <si>
    <t>E3</t>
  </si>
  <si>
    <t>E4</t>
  </si>
  <si>
    <t>E5</t>
  </si>
  <si>
    <t>E6</t>
  </si>
  <si>
    <t>E7</t>
  </si>
  <si>
    <t>E9</t>
  </si>
  <si>
    <t>E10</t>
  </si>
  <si>
    <t>E11</t>
  </si>
  <si>
    <t>F1</t>
  </si>
  <si>
    <t>F2</t>
  </si>
  <si>
    <t>F3</t>
  </si>
  <si>
    <t>F4</t>
  </si>
  <si>
    <t>F7</t>
  </si>
  <si>
    <t>F9</t>
  </si>
  <si>
    <t>F10</t>
  </si>
  <si>
    <t>F11</t>
  </si>
  <si>
    <t>G1</t>
  </si>
  <si>
    <t>G2</t>
  </si>
  <si>
    <t>G3</t>
  </si>
  <si>
    <t>G5</t>
  </si>
  <si>
    <t>G6</t>
  </si>
  <si>
    <t>G7</t>
  </si>
  <si>
    <t>G9</t>
  </si>
  <si>
    <t>G10</t>
  </si>
  <si>
    <t>G11</t>
  </si>
  <si>
    <t>A12</t>
  </si>
  <si>
    <t>B12</t>
  </si>
  <si>
    <t>C12</t>
  </si>
  <si>
    <t>E12</t>
  </si>
  <si>
    <t>F12</t>
  </si>
  <si>
    <t>G12</t>
  </si>
  <si>
    <t>H1</t>
  </si>
  <si>
    <t>H2</t>
  </si>
  <si>
    <t>H3</t>
  </si>
  <si>
    <t>H4</t>
  </si>
  <si>
    <t>H5</t>
  </si>
  <si>
    <t>H6</t>
  </si>
  <si>
    <t>H7</t>
  </si>
  <si>
    <t>H9</t>
  </si>
  <si>
    <t>H10</t>
  </si>
  <si>
    <t>&gt;20</t>
  </si>
  <si>
    <t>&lt;2</t>
  </si>
  <si>
    <t>calc_vol</t>
  </si>
  <si>
    <t>vol_to_add</t>
  </si>
  <si>
    <t xml:space="preserve">vol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</si>
</sst>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3" fontId="2" fillId="0" borderId="1" xfId="1" applyFont="1" applyBorder="1"/>
    <xf numFmtId="10" fontId="2" fillId="0" borderId="1" xfId="2" applyNumberFormat="1" applyFont="1" applyBorder="1"/>
    <xf numFmtId="43" fontId="0" fillId="0" borderId="0" xfId="0" applyNumberFormat="1"/>
    <xf numFmtId="0" fontId="2" fillId="0" borderId="2" xfId="0" applyFont="1" applyFill="1" applyBorder="1"/>
    <xf numFmtId="10" fontId="0" fillId="0" borderId="0" xfId="0" applyNumberFormat="1"/>
    <xf numFmtId="0" fontId="4" fillId="0" borderId="0" xfId="0" applyFont="1"/>
    <xf numFmtId="0" fontId="5" fillId="0" borderId="2" xfId="0" applyFont="1" applyFill="1" applyBorder="1"/>
    <xf numFmtId="0" fontId="2" fillId="0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D3CE-1151-F849-BC76-A6F1103B9AAF}">
  <sheetPr>
    <pageSetUpPr fitToPage="1"/>
  </sheetPr>
  <dimension ref="A1:J101"/>
  <sheetViews>
    <sheetView tabSelected="1" workbookViewId="0">
      <selection activeCell="C16" sqref="C16"/>
    </sheetView>
  </sheetViews>
  <sheetFormatPr baseColWidth="10" defaultRowHeight="16" x14ac:dyDescent="0.2"/>
  <cols>
    <col min="2" max="2" width="26.1640625" customWidth="1"/>
    <col min="3" max="3" width="13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2" t="s">
        <v>83</v>
      </c>
      <c r="G1" s="9"/>
      <c r="J1" s="8"/>
    </row>
    <row r="2" spans="1:10" x14ac:dyDescent="0.2">
      <c r="A2" s="1" t="s">
        <v>9</v>
      </c>
      <c r="B2">
        <v>59.694591103165301</v>
      </c>
      <c r="C2" s="3">
        <f>1000/B2</f>
        <v>16.751936507476554</v>
      </c>
      <c r="D2" s="4">
        <f>C2/$C$78</f>
        <v>2.2806369449676022E-2</v>
      </c>
      <c r="E2" s="1">
        <f>D2*$I$8</f>
        <v>15.964458614773216</v>
      </c>
      <c r="F2">
        <f>E2</f>
        <v>15.964458614773216</v>
      </c>
      <c r="H2" s="5"/>
    </row>
    <row r="3" spans="1:10" x14ac:dyDescent="0.2">
      <c r="A3" s="1" t="s">
        <v>10</v>
      </c>
      <c r="B3">
        <v>77.995627662930985</v>
      </c>
      <c r="C3" s="3">
        <f>1000/B3</f>
        <v>12.821231522382766</v>
      </c>
      <c r="D3" s="4">
        <f>C3/$C$78</f>
        <v>1.7455041258590608E-2</v>
      </c>
      <c r="E3" s="1">
        <f>D3*$I$8</f>
        <v>12.218528881013425</v>
      </c>
      <c r="F3">
        <f>E3</f>
        <v>12.218528881013425</v>
      </c>
      <c r="H3" s="5"/>
    </row>
    <row r="4" spans="1:10" x14ac:dyDescent="0.2">
      <c r="A4" s="1" t="s">
        <v>65</v>
      </c>
      <c r="B4">
        <v>99.571070182797797</v>
      </c>
      <c r="C4" s="3">
        <f>1000/B4</f>
        <v>10.043077755056238</v>
      </c>
      <c r="D4" s="4">
        <f>C4/$C$78</f>
        <v>1.367281577215923E-2</v>
      </c>
      <c r="E4" s="1">
        <f>D4*$I$8</f>
        <v>9.570971040511461</v>
      </c>
      <c r="F4">
        <f>E4</f>
        <v>9.570971040511461</v>
      </c>
      <c r="H4" s="5"/>
    </row>
    <row r="5" spans="1:10" x14ac:dyDescent="0.2">
      <c r="A5" s="1" t="s">
        <v>4</v>
      </c>
      <c r="B5">
        <v>76.905728116822914</v>
      </c>
      <c r="C5" s="3">
        <f>1000/B5</f>
        <v>13.002932609661526</v>
      </c>
      <c r="D5" s="4">
        <f>C5/$C$78</f>
        <v>1.7702412189350626E-2</v>
      </c>
      <c r="E5" s="1">
        <f>D5*$I$8</f>
        <v>12.391688532545439</v>
      </c>
      <c r="F5">
        <f>E5</f>
        <v>12.391688532545439</v>
      </c>
      <c r="H5" s="5"/>
    </row>
    <row r="6" spans="1:10" x14ac:dyDescent="0.2">
      <c r="A6" s="1" t="s">
        <v>5</v>
      </c>
      <c r="B6">
        <v>130.77606743003201</v>
      </c>
      <c r="C6" s="3">
        <f>1000/B6</f>
        <v>7.6466590535383805</v>
      </c>
      <c r="D6" s="4">
        <f>C6/$C$78</f>
        <v>1.0410290855201915E-2</v>
      </c>
      <c r="E6" s="1">
        <f>D6*$I$8</f>
        <v>7.2872035986413408</v>
      </c>
      <c r="F6">
        <f>E6</f>
        <v>7.2872035986413408</v>
      </c>
      <c r="H6" s="5"/>
    </row>
    <row r="7" spans="1:10" x14ac:dyDescent="0.2">
      <c r="A7" s="1" t="s">
        <v>6</v>
      </c>
      <c r="B7">
        <v>232.70050498004997</v>
      </c>
      <c r="C7" s="3">
        <f>1000/B7</f>
        <v>4.2973692733745148</v>
      </c>
      <c r="D7" s="4">
        <f>C7/$C$78</f>
        <v>5.8505111493541845E-3</v>
      </c>
      <c r="E7" s="1">
        <f>D7*$I$8</f>
        <v>4.0953578045479295</v>
      </c>
      <c r="F7">
        <f>E7</f>
        <v>4.0953578045479295</v>
      </c>
      <c r="H7" s="5"/>
    </row>
    <row r="8" spans="1:10" x14ac:dyDescent="0.2">
      <c r="A8" s="1" t="s">
        <v>7</v>
      </c>
      <c r="B8">
        <v>241.20565988378496</v>
      </c>
      <c r="C8" s="3">
        <f>1000/B8</f>
        <v>4.145839697467335</v>
      </c>
      <c r="D8" s="4">
        <f>C8/$C$78</f>
        <v>5.6442162240391627E-3</v>
      </c>
      <c r="E8" s="1">
        <f>D8*$I$8</f>
        <v>3.9509513568274137</v>
      </c>
      <c r="F8">
        <f>E8</f>
        <v>3.9509513568274137</v>
      </c>
      <c r="H8" t="s">
        <v>84</v>
      </c>
      <c r="I8">
        <v>700</v>
      </c>
    </row>
    <row r="9" spans="1:10" x14ac:dyDescent="0.2">
      <c r="A9" s="1" t="s">
        <v>8</v>
      </c>
      <c r="B9">
        <v>101.57950403798202</v>
      </c>
      <c r="C9" s="3">
        <f>1000/B9</f>
        <v>9.8445056359606351</v>
      </c>
      <c r="D9" s="4">
        <f>C9/$C$78</f>
        <v>1.340247633358279E-2</v>
      </c>
      <c r="E9" s="1">
        <f>D9*$I$8</f>
        <v>9.3817334335079536</v>
      </c>
      <c r="F9">
        <f>E9</f>
        <v>9.3817334335079536</v>
      </c>
      <c r="H9" s="5"/>
    </row>
    <row r="10" spans="1:10" x14ac:dyDescent="0.2">
      <c r="A10" s="1" t="s">
        <v>18</v>
      </c>
      <c r="B10">
        <v>74.401182897377311</v>
      </c>
      <c r="C10" s="3">
        <f>1000/B10</f>
        <v>13.440646520087125</v>
      </c>
      <c r="D10" s="4">
        <f>C10/$C$78</f>
        <v>1.8298323303864061E-2</v>
      </c>
      <c r="E10" s="1">
        <f>D10*$I$8</f>
        <v>12.808826312704843</v>
      </c>
      <c r="F10">
        <f>E10</f>
        <v>12.808826312704843</v>
      </c>
      <c r="H10" s="5"/>
    </row>
    <row r="11" spans="1:10" x14ac:dyDescent="0.2">
      <c r="A11" s="1" t="s">
        <v>19</v>
      </c>
      <c r="B11">
        <v>79.405502121279994</v>
      </c>
      <c r="C11" s="3">
        <f>1000/B11</f>
        <v>12.593585750174466</v>
      </c>
      <c r="D11" s="4">
        <f>C11/$C$78</f>
        <v>1.7145120457355351E-2</v>
      </c>
      <c r="E11" s="1">
        <f>D11*$I$8</f>
        <v>12.001584320148746</v>
      </c>
      <c r="F11">
        <f>E11</f>
        <v>12.001584320148746</v>
      </c>
      <c r="H11" s="5"/>
    </row>
    <row r="12" spans="1:10" x14ac:dyDescent="0.2">
      <c r="A12" s="1" t="s">
        <v>66</v>
      </c>
      <c r="B12">
        <v>74.950598017151989</v>
      </c>
      <c r="C12" s="3">
        <f>1000/B12</f>
        <v>13.342121696896349</v>
      </c>
      <c r="D12" s="4">
        <f>C12/$C$78</f>
        <v>1.816418994461631E-2</v>
      </c>
      <c r="E12" s="1">
        <f>D12*$I$8</f>
        <v>12.714932961231417</v>
      </c>
      <c r="F12">
        <f>E12</f>
        <v>12.714932961231417</v>
      </c>
      <c r="H12" s="5"/>
    </row>
    <row r="13" spans="1:10" x14ac:dyDescent="0.2">
      <c r="A13" s="1" t="s">
        <v>11</v>
      </c>
      <c r="B13">
        <v>109.48286321293398</v>
      </c>
      <c r="C13" s="3">
        <f>1000/B13</f>
        <v>9.1338495418693348</v>
      </c>
      <c r="D13" s="4">
        <f>C13/$C$78</f>
        <v>1.2434977117818907E-2</v>
      </c>
      <c r="E13" s="1">
        <f>D13*$I$8</f>
        <v>8.704483982473235</v>
      </c>
      <c r="F13">
        <f>E13</f>
        <v>8.704483982473235</v>
      </c>
      <c r="H13" s="5"/>
    </row>
    <row r="14" spans="1:10" x14ac:dyDescent="0.2">
      <c r="A14" s="1" t="s">
        <v>12</v>
      </c>
      <c r="B14">
        <v>59.704558008023497</v>
      </c>
      <c r="C14" s="3">
        <f>1000/B14</f>
        <v>16.749139988032628</v>
      </c>
      <c r="D14" s="4">
        <f>C14/$C$78</f>
        <v>2.280256222084711E-2</v>
      </c>
      <c r="E14" s="1">
        <f>D14*$I$8</f>
        <v>15.961793554592976</v>
      </c>
      <c r="F14">
        <f>E14</f>
        <v>15.961793554592976</v>
      </c>
      <c r="H14" s="5"/>
    </row>
    <row r="15" spans="1:10" x14ac:dyDescent="0.2">
      <c r="A15" s="1" t="s">
        <v>13</v>
      </c>
      <c r="B15">
        <v>90.951847999482197</v>
      </c>
      <c r="C15" s="3">
        <f>1000/B15</f>
        <v>10.994828824211391</v>
      </c>
      <c r="D15" s="4">
        <f>C15/$C$78</f>
        <v>1.4968545761201928E-2</v>
      </c>
      <c r="E15" s="1">
        <f>D15*$I$8</f>
        <v>10.47798203284135</v>
      </c>
      <c r="F15">
        <f>E15</f>
        <v>10.47798203284135</v>
      </c>
      <c r="H15" s="5"/>
    </row>
    <row r="16" spans="1:10" x14ac:dyDescent="0.2">
      <c r="A16" s="1" t="s">
        <v>14</v>
      </c>
      <c r="B16">
        <v>53.8571100397075</v>
      </c>
      <c r="C16" s="3">
        <f>1000/B16</f>
        <v>18.567650571349354</v>
      </c>
      <c r="D16" s="4">
        <f>C16/$C$78</f>
        <v>2.5278313259705035E-2</v>
      </c>
      <c r="E16" s="1">
        <f>D16*$I$8</f>
        <v>17.694819281793524</v>
      </c>
      <c r="F16">
        <f>E16</f>
        <v>17.694819281793524</v>
      </c>
      <c r="H16" s="5"/>
    </row>
    <row r="17" spans="1:8" x14ac:dyDescent="0.2">
      <c r="A17" s="1" t="s">
        <v>15</v>
      </c>
      <c r="B17">
        <v>93.739272488353009</v>
      </c>
      <c r="C17" s="3">
        <f>1000/B17</f>
        <v>10.667887358782828</v>
      </c>
      <c r="D17" s="4">
        <f>C17/$C$78</f>
        <v>1.4523442125233963E-2</v>
      </c>
      <c r="E17" s="1">
        <f>D17*$I$8</f>
        <v>10.166409487663774</v>
      </c>
      <c r="F17">
        <f>E17</f>
        <v>10.166409487663774</v>
      </c>
      <c r="H17" s="5"/>
    </row>
    <row r="18" spans="1:8" x14ac:dyDescent="0.2">
      <c r="A18" s="1" t="s">
        <v>16</v>
      </c>
      <c r="B18">
        <v>54.519393591824205</v>
      </c>
      <c r="C18" s="3">
        <f>1000/B18</f>
        <v>18.342096896506224</v>
      </c>
      <c r="D18" s="4">
        <f>C18/$C$78</f>
        <v>2.4971240675176753E-2</v>
      </c>
      <c r="E18" s="1">
        <f>D18*$I$8</f>
        <v>17.479868472623728</v>
      </c>
      <c r="F18">
        <f>E18</f>
        <v>17.479868472623728</v>
      </c>
      <c r="H18" s="5"/>
    </row>
    <row r="19" spans="1:8" x14ac:dyDescent="0.2">
      <c r="A19" s="1" t="s">
        <v>17</v>
      </c>
      <c r="B19">
        <v>78.304909504237102</v>
      </c>
      <c r="C19" s="3">
        <f>1000/B19</f>
        <v>12.770591350289342</v>
      </c>
      <c r="D19" s="4">
        <f>C19/$C$78</f>
        <v>1.7386098872542145E-2</v>
      </c>
      <c r="E19" s="1">
        <f>D19*$I$8</f>
        <v>12.170269210779502</v>
      </c>
      <c r="F19">
        <f>E19</f>
        <v>12.170269210779502</v>
      </c>
      <c r="H19" s="5"/>
    </row>
    <row r="20" spans="1:8" x14ac:dyDescent="0.2">
      <c r="A20" s="1" t="s">
        <v>20</v>
      </c>
      <c r="B20">
        <v>61.709624958754397</v>
      </c>
      <c r="C20" s="3">
        <f>1000/B20</f>
        <v>16.204927524164699</v>
      </c>
      <c r="D20" s="4">
        <f>C20/$C$78</f>
        <v>2.206166217597462E-2</v>
      </c>
      <c r="E20" s="1">
        <f>D20*$I$8</f>
        <v>15.443163523182234</v>
      </c>
      <c r="F20">
        <f>E20</f>
        <v>15.443163523182234</v>
      </c>
      <c r="H20" s="5"/>
    </row>
    <row r="21" spans="1:8" x14ac:dyDescent="0.2">
      <c r="A21" s="1" t="s">
        <v>27</v>
      </c>
      <c r="B21">
        <v>68.291961760059607</v>
      </c>
      <c r="C21" s="3">
        <f>1000/B21</f>
        <v>14.643011772211933</v>
      </c>
      <c r="D21" s="4">
        <f>C21/$C$78</f>
        <v>1.9935243676692162E-2</v>
      </c>
      <c r="E21" s="1">
        <f>D21*$I$8</f>
        <v>13.954670573684513</v>
      </c>
      <c r="F21">
        <f>E21</f>
        <v>13.954670573684513</v>
      </c>
      <c r="H21" s="5"/>
    </row>
    <row r="22" spans="1:8" x14ac:dyDescent="0.2">
      <c r="A22" s="1" t="s">
        <v>28</v>
      </c>
      <c r="B22">
        <v>219.53935121486899</v>
      </c>
      <c r="C22" s="3">
        <f>1000/B22</f>
        <v>4.5549920525239846</v>
      </c>
      <c r="D22" s="4">
        <f>C22/$C$78</f>
        <v>6.2012431544159778E-3</v>
      </c>
      <c r="E22" s="1">
        <f>D22*$I$8</f>
        <v>4.3408702080911841</v>
      </c>
      <c r="F22">
        <f>E22</f>
        <v>4.3408702080911841</v>
      </c>
      <c r="H22" s="5"/>
    </row>
    <row r="23" spans="1:8" x14ac:dyDescent="0.2">
      <c r="A23" s="1" t="s">
        <v>67</v>
      </c>
      <c r="B23">
        <v>48.0544984790927</v>
      </c>
      <c r="C23" s="3">
        <f>1000/B23</f>
        <v>20.809706305333201</v>
      </c>
      <c r="D23" s="4">
        <f>C23/$C$78</f>
        <v>2.8330685824105511E-2</v>
      </c>
      <c r="E23" s="1">
        <f>D23*$I$8</f>
        <v>19.831480076873859</v>
      </c>
      <c r="F23">
        <f>E23</f>
        <v>19.831480076873859</v>
      </c>
      <c r="H23" s="5"/>
    </row>
    <row r="24" spans="1:8" x14ac:dyDescent="0.2">
      <c r="A24" s="1" t="s">
        <v>21</v>
      </c>
      <c r="B24">
        <v>186.481278657193</v>
      </c>
      <c r="C24" s="3">
        <f>1000/B24</f>
        <v>5.3624685930982476</v>
      </c>
      <c r="D24" s="4">
        <f>C24/$C$78</f>
        <v>7.3005553621755927E-3</v>
      </c>
      <c r="E24" s="1">
        <f>D24*$I$8</f>
        <v>5.1103887535229147</v>
      </c>
      <c r="F24">
        <f>E24</f>
        <v>5.1103887535229147</v>
      </c>
      <c r="H24" s="5"/>
    </row>
    <row r="25" spans="1:8" x14ac:dyDescent="0.2">
      <c r="A25" s="1" t="s">
        <v>22</v>
      </c>
      <c r="B25">
        <v>96.104120900497037</v>
      </c>
      <c r="C25" s="3">
        <f>1000/B25</f>
        <v>10.405381066180983</v>
      </c>
      <c r="D25" s="4">
        <f>C25/$C$78</f>
        <v>1.4166061622432365E-2</v>
      </c>
      <c r="E25" s="1">
        <f>D25*$I$8</f>
        <v>9.9162431357026559</v>
      </c>
      <c r="F25">
        <f>E25</f>
        <v>9.9162431357026559</v>
      </c>
      <c r="H25" s="5"/>
    </row>
    <row r="26" spans="1:8" x14ac:dyDescent="0.2">
      <c r="A26" s="1" t="s">
        <v>23</v>
      </c>
      <c r="B26">
        <v>124.04894258612501</v>
      </c>
      <c r="C26" s="3">
        <f>1000/B26</f>
        <v>8.0613343342746955</v>
      </c>
      <c r="D26" s="4">
        <f>C26/$C$78</f>
        <v>1.0974836789930099E-2</v>
      </c>
      <c r="E26" s="1">
        <f>D26*$I$8</f>
        <v>7.6823857529510695</v>
      </c>
      <c r="F26">
        <f>E26</f>
        <v>7.6823857529510695</v>
      </c>
      <c r="H26" s="5"/>
    </row>
    <row r="27" spans="1:8" x14ac:dyDescent="0.2">
      <c r="A27" s="1" t="s">
        <v>24</v>
      </c>
      <c r="B27">
        <v>315.10730069631495</v>
      </c>
      <c r="C27" s="3">
        <f>1000/B27</f>
        <v>3.1735221551205863</v>
      </c>
      <c r="D27" s="4">
        <f>C27/$C$78</f>
        <v>4.3204866908437599E-3</v>
      </c>
      <c r="E27" s="1">
        <f>D27*$I$8</f>
        <v>3.0243406835906321</v>
      </c>
      <c r="F27">
        <f>E27</f>
        <v>3.0243406835906321</v>
      </c>
      <c r="H27" s="5"/>
    </row>
    <row r="28" spans="1:8" x14ac:dyDescent="0.2">
      <c r="A28" s="1" t="s">
        <v>25</v>
      </c>
      <c r="B28">
        <v>175.68669788057599</v>
      </c>
      <c r="C28" s="3">
        <f>1000/B28</f>
        <v>5.6919505691874042</v>
      </c>
      <c r="D28" s="4">
        <f>C28/$C$78</f>
        <v>7.7491176922885874E-3</v>
      </c>
      <c r="E28" s="1">
        <f>D28*$I$8</f>
        <v>5.4243823846020112</v>
      </c>
      <c r="F28">
        <f>E28</f>
        <v>5.4243823846020112</v>
      </c>
      <c r="H28" s="5"/>
    </row>
    <row r="29" spans="1:8" x14ac:dyDescent="0.2">
      <c r="A29" s="1" t="s">
        <v>26</v>
      </c>
      <c r="B29">
        <v>153.18278480992399</v>
      </c>
      <c r="C29" s="3">
        <f>1000/B29</f>
        <v>6.528148716194476</v>
      </c>
      <c r="D29" s="4">
        <f>C29/$C$78</f>
        <v>8.8875319804078371E-3</v>
      </c>
      <c r="E29" s="1">
        <f>D29*$I$8</f>
        <v>6.2212723862854862</v>
      </c>
      <c r="F29">
        <f>E29</f>
        <v>6.2212723862854862</v>
      </c>
      <c r="H29" s="5"/>
    </row>
    <row r="30" spans="1:8" x14ac:dyDescent="0.2">
      <c r="A30" s="1" t="s">
        <v>29</v>
      </c>
      <c r="B30">
        <v>214.73482629646003</v>
      </c>
      <c r="C30" s="3">
        <f>1000/B30</f>
        <v>4.6569064610852333</v>
      </c>
      <c r="D30" s="4">
        <f>C30/$C$78</f>
        <v>6.3399911524671705E-3</v>
      </c>
      <c r="E30" s="1">
        <f>D30*$I$8</f>
        <v>4.437993806727019</v>
      </c>
      <c r="F30">
        <f>E30</f>
        <v>4.437993806727019</v>
      </c>
      <c r="H30" s="5"/>
    </row>
    <row r="31" spans="1:8" x14ac:dyDescent="0.2">
      <c r="A31" s="1" t="s">
        <v>37</v>
      </c>
      <c r="B31">
        <v>164.45623022558101</v>
      </c>
      <c r="C31" s="3">
        <f>1000/B31</f>
        <v>6.0806452794662862</v>
      </c>
      <c r="D31" s="4">
        <f>C31/$C$78</f>
        <v>8.2782932393543583E-3</v>
      </c>
      <c r="E31" s="1">
        <f>D31*$I$8</f>
        <v>5.7948052675480506</v>
      </c>
      <c r="F31">
        <f>E31</f>
        <v>5.7948052675480506</v>
      </c>
      <c r="H31" s="5"/>
    </row>
    <row r="32" spans="1:8" x14ac:dyDescent="0.2">
      <c r="A32" s="1" t="s">
        <v>38</v>
      </c>
      <c r="B32">
        <v>76.424655900811985</v>
      </c>
      <c r="C32" s="3">
        <f>1000/B32</f>
        <v>13.084782498698504</v>
      </c>
      <c r="D32" s="4">
        <f>C32/$C$78</f>
        <v>1.781384401145425E-2</v>
      </c>
      <c r="E32" s="1">
        <f>D32*$I$8</f>
        <v>12.469690808017974</v>
      </c>
      <c r="F32">
        <f>E32</f>
        <v>12.469690808017974</v>
      </c>
      <c r="H32" s="5"/>
    </row>
    <row r="33" spans="1:8" x14ac:dyDescent="0.2">
      <c r="A33" s="1" t="s">
        <v>30</v>
      </c>
      <c r="B33">
        <v>184.31349221871596</v>
      </c>
      <c r="C33" s="3">
        <f>1000/B33</f>
        <v>5.4255387815741027</v>
      </c>
      <c r="D33" s="4">
        <f>C33/$C$78</f>
        <v>7.3864201825800321E-3</v>
      </c>
      <c r="E33" s="1">
        <f>D33*$I$8</f>
        <v>5.1704941278060224</v>
      </c>
      <c r="F33">
        <f>E33</f>
        <v>5.1704941278060224</v>
      </c>
      <c r="H33" s="5"/>
    </row>
    <row r="34" spans="1:8" x14ac:dyDescent="0.2">
      <c r="A34" s="1" t="s">
        <v>31</v>
      </c>
      <c r="B34">
        <v>153.02188424949702</v>
      </c>
      <c r="C34" s="3">
        <f>1000/B34</f>
        <v>6.5350129813428106</v>
      </c>
      <c r="D34" s="4">
        <f>C34/$C$78</f>
        <v>8.8968771069789405E-3</v>
      </c>
      <c r="E34" s="1">
        <f>D34*$I$8</f>
        <v>6.2278139748852581</v>
      </c>
      <c r="F34">
        <f>E34</f>
        <v>6.2278139748852581</v>
      </c>
      <c r="H34" s="5"/>
    </row>
    <row r="35" spans="1:8" x14ac:dyDescent="0.2">
      <c r="A35" s="1" t="s">
        <v>32</v>
      </c>
      <c r="B35">
        <v>130.51163127167399</v>
      </c>
      <c r="C35" s="3">
        <f>1000/B35</f>
        <v>7.6621523327556336</v>
      </c>
      <c r="D35" s="4">
        <f>C35/$C$78</f>
        <v>1.0431383667346824E-2</v>
      </c>
      <c r="E35" s="1">
        <f>D35*$I$8</f>
        <v>7.3019685671427768</v>
      </c>
      <c r="F35">
        <f>E35</f>
        <v>7.3019685671427768</v>
      </c>
      <c r="H35" s="5"/>
    </row>
    <row r="36" spans="1:8" x14ac:dyDescent="0.2">
      <c r="A36" s="1" t="s">
        <v>33</v>
      </c>
      <c r="B36">
        <v>107.55439761480399</v>
      </c>
      <c r="C36" s="3">
        <f>1000/B36</f>
        <v>9.2976207591381481</v>
      </c>
      <c r="D36" s="4">
        <f>C36/$C$78</f>
        <v>1.265793802055327E-2</v>
      </c>
      <c r="E36" s="1">
        <f>D36*$I$8</f>
        <v>8.8605566143872885</v>
      </c>
      <c r="F36">
        <f>E36</f>
        <v>8.8605566143872885</v>
      </c>
      <c r="H36" s="5"/>
    </row>
    <row r="37" spans="1:8" x14ac:dyDescent="0.2">
      <c r="A37" s="1" t="s">
        <v>34</v>
      </c>
      <c r="B37">
        <v>232.52389867261491</v>
      </c>
      <c r="C37" s="3">
        <f>1000/B37</f>
        <v>4.3006332067739983</v>
      </c>
      <c r="D37" s="4">
        <f>C37/$C$78</f>
        <v>5.8549547234409494E-3</v>
      </c>
      <c r="E37" s="1">
        <f>D37*$I$8</f>
        <v>4.0984683064086642</v>
      </c>
      <c r="F37">
        <f>E37</f>
        <v>4.0984683064086642</v>
      </c>
      <c r="H37" s="5"/>
    </row>
    <row r="38" spans="1:8" x14ac:dyDescent="0.2">
      <c r="A38" s="1" t="s">
        <v>35</v>
      </c>
      <c r="B38">
        <v>225.98116137108093</v>
      </c>
      <c r="C38" s="3">
        <f>1000/B38</f>
        <v>4.425147627053355</v>
      </c>
      <c r="D38" s="4">
        <f>C38/$C$78</f>
        <v>6.0244707593592956E-3</v>
      </c>
      <c r="E38" s="1">
        <f>D38*$I$8</f>
        <v>4.2171295315515067</v>
      </c>
      <c r="F38">
        <f>E38</f>
        <v>4.2171295315515067</v>
      </c>
      <c r="H38" s="5"/>
    </row>
    <row r="39" spans="1:8" x14ac:dyDescent="0.2">
      <c r="A39" s="1" t="s">
        <v>36</v>
      </c>
      <c r="B39">
        <v>127.40016644067498</v>
      </c>
      <c r="C39" s="3">
        <f>1000/B39</f>
        <v>7.8492833089480998</v>
      </c>
      <c r="D39" s="4">
        <f>C39/$C$78</f>
        <v>1.0686146940632822E-2</v>
      </c>
      <c r="E39" s="1">
        <f>D39*$I$8</f>
        <v>7.4803028584429754</v>
      </c>
      <c r="F39">
        <f>E39</f>
        <v>7.4803028584429754</v>
      </c>
      <c r="H39" s="5"/>
    </row>
    <row r="40" spans="1:8" x14ac:dyDescent="0.2">
      <c r="A40" s="1" t="s">
        <v>39</v>
      </c>
      <c r="B40">
        <v>67.459892458662594</v>
      </c>
      <c r="C40" s="3">
        <f>1000/B40</f>
        <v>14.823622800951989</v>
      </c>
      <c r="D40" s="4">
        <f>C40/$C$78</f>
        <v>2.018113058333686E-2</v>
      </c>
      <c r="E40" s="1">
        <f>D40*$I$8</f>
        <v>14.126791408335801</v>
      </c>
      <c r="F40">
        <f>E40</f>
        <v>14.126791408335801</v>
      </c>
      <c r="H40" s="5"/>
    </row>
    <row r="41" spans="1:8" x14ac:dyDescent="0.2">
      <c r="A41" s="1" t="s">
        <v>46</v>
      </c>
      <c r="B41">
        <v>87.875723650238001</v>
      </c>
      <c r="C41" s="3">
        <f>1000/B41</f>
        <v>11.379707141646868</v>
      </c>
      <c r="D41" s="4">
        <f>C41/$C$78</f>
        <v>1.5492525606558052E-2</v>
      </c>
      <c r="E41" s="1">
        <f>D41*$I$8</f>
        <v>10.844767924590636</v>
      </c>
      <c r="F41">
        <f>E41</f>
        <v>10.844767924590636</v>
      </c>
      <c r="H41" s="5"/>
    </row>
    <row r="42" spans="1:8" x14ac:dyDescent="0.2">
      <c r="A42" s="1" t="s">
        <v>47</v>
      </c>
      <c r="B42">
        <v>119.17541583439899</v>
      </c>
      <c r="C42" s="3">
        <f>1000/B42</f>
        <v>8.3909923283972994</v>
      </c>
      <c r="D42" s="4">
        <f>C42/$C$78</f>
        <v>1.142363875396833E-2</v>
      </c>
      <c r="E42" s="1">
        <f>D42*$I$8</f>
        <v>7.9965471277778315</v>
      </c>
      <c r="F42">
        <f>E42</f>
        <v>7.9965471277778315</v>
      </c>
      <c r="H42" s="5"/>
    </row>
    <row r="43" spans="1:8" x14ac:dyDescent="0.2">
      <c r="A43" s="1" t="s">
        <v>68</v>
      </c>
      <c r="B43">
        <v>58.408193108975397</v>
      </c>
      <c r="C43" s="3">
        <f>1000/B43</f>
        <v>17.12088573146313</v>
      </c>
      <c r="D43" s="4">
        <f>C43/$C$78</f>
        <v>2.3308663158027512E-2</v>
      </c>
      <c r="E43" s="1">
        <f>D43*$I$8</f>
        <v>16.31606421061926</v>
      </c>
      <c r="F43">
        <f>E43</f>
        <v>16.31606421061926</v>
      </c>
      <c r="H43" s="5"/>
    </row>
    <row r="44" spans="1:8" x14ac:dyDescent="0.2">
      <c r="A44" s="1" t="s">
        <v>40</v>
      </c>
      <c r="B44">
        <v>155.110220777915</v>
      </c>
      <c r="C44" s="3">
        <f>1000/B44</f>
        <v>6.4470284097641013</v>
      </c>
      <c r="D44" s="4">
        <f>C44/$C$78</f>
        <v>8.7770934243939485E-3</v>
      </c>
      <c r="E44" s="1">
        <f>D44*$I$8</f>
        <v>6.1439653970757639</v>
      </c>
      <c r="F44">
        <f>E44</f>
        <v>6.1439653970757639</v>
      </c>
      <c r="H44" s="5"/>
    </row>
    <row r="45" spans="1:8" x14ac:dyDescent="0.2">
      <c r="A45" s="1" t="s">
        <v>41</v>
      </c>
      <c r="B45">
        <v>141.68288390282902</v>
      </c>
      <c r="C45" s="3">
        <f>1000/B45</f>
        <v>7.0580155658451611</v>
      </c>
      <c r="D45" s="4">
        <f>C45/$C$78</f>
        <v>9.6089016636606416E-3</v>
      </c>
      <c r="E45" s="1">
        <f>D45*$I$8</f>
        <v>6.7262311645624493</v>
      </c>
      <c r="F45">
        <f>E45</f>
        <v>6.7262311645624493</v>
      </c>
      <c r="H45" s="5"/>
    </row>
    <row r="46" spans="1:8" x14ac:dyDescent="0.2">
      <c r="A46" s="1" t="s">
        <v>42</v>
      </c>
      <c r="B46">
        <v>107.69911008950761</v>
      </c>
      <c r="C46" s="3">
        <f>1000/B46</f>
        <v>9.2851277895324333</v>
      </c>
      <c r="D46" s="4">
        <f>C46/$C$78</f>
        <v>1.2640929880615279E-2</v>
      </c>
      <c r="E46" s="1">
        <f>D46*$I$8</f>
        <v>8.8486509164306959</v>
      </c>
      <c r="F46">
        <f>E46</f>
        <v>8.8486509164306959</v>
      </c>
      <c r="H46" s="5"/>
    </row>
    <row r="47" spans="1:8" x14ac:dyDescent="0.2">
      <c r="A47" s="1" t="s">
        <v>43</v>
      </c>
      <c r="B47">
        <v>227.51989033799401</v>
      </c>
      <c r="C47" s="3">
        <f>1000/B47</f>
        <v>4.3952201212581539</v>
      </c>
      <c r="D47" s="4">
        <f>C47/$C$78</f>
        <v>5.983726947229393E-3</v>
      </c>
      <c r="E47" s="1">
        <f>D47*$I$8</f>
        <v>4.1886088630605753</v>
      </c>
      <c r="F47">
        <f>E47</f>
        <v>4.1886088630605753</v>
      </c>
      <c r="H47" s="5"/>
    </row>
    <row r="48" spans="1:8" x14ac:dyDescent="0.2">
      <c r="A48" s="1" t="s">
        <v>44</v>
      </c>
      <c r="B48">
        <v>267.84242358238305</v>
      </c>
      <c r="C48" s="3">
        <f>1000/B48</f>
        <v>3.7335384985882185</v>
      </c>
      <c r="D48" s="4">
        <f>C48/$C$78</f>
        <v>5.0829024044706135E-3</v>
      </c>
      <c r="E48" s="1">
        <f>D48*$I$8</f>
        <v>3.5580316831294296</v>
      </c>
      <c r="F48">
        <f>E48</f>
        <v>3.5580316831294296</v>
      </c>
      <c r="H48" s="5"/>
    </row>
    <row r="49" spans="1:8" x14ac:dyDescent="0.2">
      <c r="A49" s="1" t="s">
        <v>45</v>
      </c>
      <c r="B49">
        <v>122.64492671480102</v>
      </c>
      <c r="C49" s="3">
        <f>1000/B49</f>
        <v>8.1536189615523504</v>
      </c>
      <c r="D49" s="4">
        <f>C49/$C$78</f>
        <v>1.1100474641009614E-2</v>
      </c>
      <c r="E49" s="1">
        <f>D49*$I$8</f>
        <v>7.7703322487067297</v>
      </c>
      <c r="F49">
        <f>E49</f>
        <v>7.7703322487067297</v>
      </c>
      <c r="H49" s="5"/>
    </row>
    <row r="50" spans="1:8" x14ac:dyDescent="0.2">
      <c r="A50" s="1" t="s">
        <v>48</v>
      </c>
      <c r="B50">
        <v>104.931572800461</v>
      </c>
      <c r="C50" s="3">
        <f>1000/B50</f>
        <v>9.5300201198890893</v>
      </c>
      <c r="D50" s="4">
        <f>C50/$C$78</f>
        <v>1.297433043756064E-2</v>
      </c>
      <c r="E50" s="1">
        <f>D50*$I$8</f>
        <v>9.082031306292448</v>
      </c>
      <c r="F50">
        <f>E50</f>
        <v>9.082031306292448</v>
      </c>
      <c r="H50" s="5"/>
    </row>
    <row r="51" spans="1:8" x14ac:dyDescent="0.2">
      <c r="A51" s="1" t="s">
        <v>54</v>
      </c>
      <c r="B51">
        <v>178.835010925755</v>
      </c>
      <c r="C51" s="3">
        <f>1000/B51</f>
        <v>5.5917462404224594</v>
      </c>
      <c r="D51" s="4">
        <f>C51/$C$78</f>
        <v>7.612697825770458E-3</v>
      </c>
      <c r="E51" s="1">
        <f>D51*$I$8</f>
        <v>5.3288884780393202</v>
      </c>
      <c r="F51">
        <f>E51</f>
        <v>5.3288884780393202</v>
      </c>
      <c r="H51" s="5"/>
    </row>
    <row r="52" spans="1:8" x14ac:dyDescent="0.2">
      <c r="A52" s="1" t="s">
        <v>55</v>
      </c>
      <c r="B52">
        <v>118.01652591619902</v>
      </c>
      <c r="C52" s="3">
        <f>1000/B52</f>
        <v>8.4733895718136836</v>
      </c>
      <c r="D52" s="4">
        <f>C52/$C$78</f>
        <v>1.1535815753573733E-2</v>
      </c>
      <c r="E52" s="1">
        <f>D52*$I$8</f>
        <v>8.0750710275016129</v>
      </c>
      <c r="F52">
        <f>E52</f>
        <v>8.0750710275016129</v>
      </c>
      <c r="H52" s="5"/>
    </row>
    <row r="53" spans="1:8" x14ac:dyDescent="0.2">
      <c r="A53" s="1" t="s">
        <v>69</v>
      </c>
      <c r="B53">
        <v>125.27310544701103</v>
      </c>
      <c r="C53" s="3">
        <f>1000/B53</f>
        <v>7.9825593564692747</v>
      </c>
      <c r="D53" s="4">
        <f>C53/$C$78</f>
        <v>1.0867591203939569E-2</v>
      </c>
      <c r="E53" s="1">
        <f>D53*$I$8</f>
        <v>7.6073138427576987</v>
      </c>
      <c r="F53">
        <f>E53</f>
        <v>7.6073138427576987</v>
      </c>
      <c r="H53" s="5"/>
    </row>
    <row r="54" spans="1:8" x14ac:dyDescent="0.2">
      <c r="A54" s="1" t="s">
        <v>49</v>
      </c>
      <c r="B54">
        <v>61.174083092678003</v>
      </c>
      <c r="C54" s="3">
        <f>1000/B54</f>
        <v>16.346791802093904</v>
      </c>
      <c r="D54" s="4">
        <f>C54/$C$78</f>
        <v>2.2254798601290045E-2</v>
      </c>
      <c r="E54" s="1">
        <f>D54*$I$8</f>
        <v>15.578359020903031</v>
      </c>
      <c r="F54">
        <f>E54</f>
        <v>15.578359020903031</v>
      </c>
      <c r="H54" s="5"/>
    </row>
    <row r="55" spans="1:8" x14ac:dyDescent="0.2">
      <c r="A55" s="1" t="s">
        <v>50</v>
      </c>
      <c r="B55">
        <v>105.83810957973901</v>
      </c>
      <c r="C55" s="3">
        <f>1000/B55</f>
        <v>9.448392492749452</v>
      </c>
      <c r="D55" s="4">
        <f>C55/$C$78</f>
        <v>1.2863201206560027E-2</v>
      </c>
      <c r="E55" s="1">
        <f>D55*$I$8</f>
        <v>9.0042408445920188</v>
      </c>
      <c r="F55">
        <f>E55</f>
        <v>9.0042408445920188</v>
      </c>
      <c r="H55" s="5"/>
    </row>
    <row r="56" spans="1:8" x14ac:dyDescent="0.2">
      <c r="A56" s="1" t="s">
        <v>51</v>
      </c>
      <c r="B56">
        <v>292.02150479215197</v>
      </c>
      <c r="C56" s="3">
        <f>1000/B56</f>
        <v>3.4244053386128392</v>
      </c>
      <c r="D56" s="4">
        <f>C56/$C$78</f>
        <v>4.6620432964864277E-3</v>
      </c>
      <c r="E56" s="1">
        <f>D56*$I$8</f>
        <v>3.2634303075404993</v>
      </c>
      <c r="F56">
        <f>E56</f>
        <v>3.2634303075404993</v>
      </c>
      <c r="H56" s="5"/>
    </row>
    <row r="57" spans="1:8" x14ac:dyDescent="0.2">
      <c r="A57" s="1" t="s">
        <v>52</v>
      </c>
      <c r="B57">
        <v>86.255117931404001</v>
      </c>
      <c r="C57" s="3">
        <f>1000/B57</f>
        <v>11.593514958674902</v>
      </c>
      <c r="D57" s="4">
        <f>C57/$C$78</f>
        <v>1.578360718176542E-2</v>
      </c>
      <c r="E57" s="1">
        <f>D57*$I$8</f>
        <v>11.048525027235794</v>
      </c>
      <c r="F57">
        <f>E57</f>
        <v>11.048525027235794</v>
      </c>
      <c r="H57" s="5"/>
    </row>
    <row r="58" spans="1:8" x14ac:dyDescent="0.2">
      <c r="A58" s="1" t="s">
        <v>53</v>
      </c>
      <c r="B58">
        <v>186.22064840535199</v>
      </c>
      <c r="C58" s="3">
        <f>1000/B58</f>
        <v>5.3699737841276889</v>
      </c>
      <c r="D58" s="4">
        <f>C58/$C$78</f>
        <v>7.3107730560721422E-3</v>
      </c>
      <c r="E58" s="1">
        <f>D58*$I$8</f>
        <v>5.1175411392504992</v>
      </c>
      <c r="F58">
        <f>E58</f>
        <v>5.1175411392504992</v>
      </c>
      <c r="H58" s="5"/>
    </row>
    <row r="59" spans="1:8" x14ac:dyDescent="0.2">
      <c r="A59" s="1" t="s">
        <v>56</v>
      </c>
      <c r="B59">
        <v>124.45103676176001</v>
      </c>
      <c r="C59" s="3">
        <f>1000/B59</f>
        <v>8.0352886245080235</v>
      </c>
      <c r="D59" s="4">
        <f>C59/$C$78</f>
        <v>1.0939377720511309E-2</v>
      </c>
      <c r="E59" s="1">
        <f>D59*$I$8</f>
        <v>7.6575644043579159</v>
      </c>
      <c r="F59">
        <f>E59</f>
        <v>7.6575644043579159</v>
      </c>
      <c r="H59" s="5"/>
    </row>
    <row r="60" spans="1:8" x14ac:dyDescent="0.2">
      <c r="A60" s="1" t="s">
        <v>63</v>
      </c>
      <c r="B60">
        <v>57.664202510082987</v>
      </c>
      <c r="C60" s="3">
        <f>1000/B60</f>
        <v>17.341781494769535</v>
      </c>
      <c r="D60" s="4">
        <f>C60/$C$78</f>
        <v>2.3609394383076368E-2</v>
      </c>
      <c r="E60" s="1">
        <f>D60*$I$8</f>
        <v>16.526576068153457</v>
      </c>
      <c r="F60">
        <f>E60</f>
        <v>16.526576068153457</v>
      </c>
      <c r="H60" s="5"/>
    </row>
    <row r="61" spans="1:8" x14ac:dyDescent="0.2">
      <c r="A61" s="1" t="s">
        <v>64</v>
      </c>
      <c r="B61">
        <v>104.695443420792</v>
      </c>
      <c r="C61" s="3">
        <f>1000/B61</f>
        <v>9.5515140614171639</v>
      </c>
      <c r="D61" s="4">
        <f>C61/$C$78</f>
        <v>1.3003592652779771E-2</v>
      </c>
      <c r="E61" s="1">
        <f>D61*$I$8</f>
        <v>9.1025148569458398</v>
      </c>
      <c r="F61">
        <f>E61</f>
        <v>9.1025148569458398</v>
      </c>
      <c r="H61" s="5"/>
    </row>
    <row r="62" spans="1:8" x14ac:dyDescent="0.2">
      <c r="A62" s="1" t="s">
        <v>70</v>
      </c>
      <c r="B62">
        <v>100.50230325177299</v>
      </c>
      <c r="C62" s="3">
        <f>1000/B62</f>
        <v>9.9500207223595023</v>
      </c>
      <c r="D62" s="4">
        <f>C62/$C$78</f>
        <v>1.3546126355289416E-2</v>
      </c>
      <c r="E62" s="1">
        <f>D62*$I$8</f>
        <v>9.482288448702592</v>
      </c>
      <c r="F62">
        <f>E62</f>
        <v>9.482288448702592</v>
      </c>
      <c r="H62" s="5"/>
    </row>
    <row r="63" spans="1:8" x14ac:dyDescent="0.2">
      <c r="A63" s="1" t="s">
        <v>57</v>
      </c>
      <c r="B63">
        <v>53.818567072067793</v>
      </c>
      <c r="C63" s="3">
        <f>1000/B63</f>
        <v>18.580948070596381</v>
      </c>
      <c r="D63" s="4">
        <f>C63/$C$78</f>
        <v>2.529641669989233E-2</v>
      </c>
      <c r="E63" s="1">
        <f>D63*$I$8</f>
        <v>17.70749168992463</v>
      </c>
      <c r="F63">
        <f>E63</f>
        <v>17.70749168992463</v>
      </c>
      <c r="H63" s="5"/>
    </row>
    <row r="64" spans="1:8" x14ac:dyDescent="0.2">
      <c r="A64" s="1" t="s">
        <v>58</v>
      </c>
      <c r="B64">
        <v>232.99714492816008</v>
      </c>
      <c r="C64" s="3">
        <f>1000/B64</f>
        <v>4.2918980844521917</v>
      </c>
      <c r="D64" s="4">
        <f>C64/$C$78</f>
        <v>5.8430625802985544E-3</v>
      </c>
      <c r="E64" s="1">
        <f>D64*$I$8</f>
        <v>4.0901438062089879</v>
      </c>
      <c r="F64">
        <f>E64</f>
        <v>4.0901438062089879</v>
      </c>
      <c r="H64" s="5"/>
    </row>
    <row r="65" spans="1:8" x14ac:dyDescent="0.2">
      <c r="A65" s="1" t="s">
        <v>59</v>
      </c>
      <c r="B65">
        <v>184.31059836286397</v>
      </c>
      <c r="C65" s="3">
        <f>1000/B65</f>
        <v>5.4256239678156577</v>
      </c>
      <c r="D65" s="4">
        <f>C65/$C$78</f>
        <v>7.3865361565688343E-3</v>
      </c>
      <c r="E65" s="1">
        <f>D65*$I$8</f>
        <v>5.1705753095981839</v>
      </c>
      <c r="F65">
        <f>E65</f>
        <v>5.1705753095981839</v>
      </c>
      <c r="H65" s="5"/>
    </row>
    <row r="66" spans="1:8" x14ac:dyDescent="0.2">
      <c r="A66" s="1" t="s">
        <v>60</v>
      </c>
      <c r="B66">
        <v>384.64897077971511</v>
      </c>
      <c r="C66" s="3">
        <f>1000/B66</f>
        <v>2.5997729773536578</v>
      </c>
      <c r="D66" s="4">
        <f>C66/$C$78</f>
        <v>3.5393748645327901E-3</v>
      </c>
      <c r="E66" s="1">
        <f>D66*$I$8</f>
        <v>2.4775624051729532</v>
      </c>
      <c r="F66">
        <f>E66</f>
        <v>2.4775624051729532</v>
      </c>
      <c r="H66" s="5"/>
    </row>
    <row r="67" spans="1:8" x14ac:dyDescent="0.2">
      <c r="A67" s="1" t="s">
        <v>61</v>
      </c>
      <c r="B67">
        <v>166.85106686371296</v>
      </c>
      <c r="C67" s="3">
        <f>1000/B67</f>
        <v>5.9933689295305408</v>
      </c>
      <c r="D67" s="4">
        <f>C67/$C$78</f>
        <v>8.1594737416822265E-3</v>
      </c>
      <c r="E67" s="1">
        <f>D67*$I$8</f>
        <v>5.7116316191775587</v>
      </c>
      <c r="F67">
        <f>E67</f>
        <v>5.7116316191775587</v>
      </c>
      <c r="H67" s="5"/>
    </row>
    <row r="68" spans="1:8" x14ac:dyDescent="0.2">
      <c r="A68" s="1" t="s">
        <v>62</v>
      </c>
      <c r="B68">
        <v>78.975175189076992</v>
      </c>
      <c r="C68" s="3">
        <f>1000/B68</f>
        <v>12.662206796070638</v>
      </c>
      <c r="D68" s="4">
        <f>C68/$C$78</f>
        <v>1.7238542308854896E-2</v>
      </c>
      <c r="E68" s="1">
        <f>D68*$I$8</f>
        <v>12.066979616198427</v>
      </c>
      <c r="F68">
        <f>E68</f>
        <v>12.066979616198427</v>
      </c>
      <c r="H68" s="5"/>
    </row>
    <row r="69" spans="1:8" x14ac:dyDescent="0.2">
      <c r="A69" s="10" t="s">
        <v>71</v>
      </c>
      <c r="B69">
        <v>114.26034078491</v>
      </c>
      <c r="C69" s="3">
        <f>1000/B69</f>
        <v>8.7519430900565531</v>
      </c>
      <c r="D69" s="4">
        <f>C69/$C$78</f>
        <v>1.1915043220542621E-2</v>
      </c>
      <c r="E69" s="1">
        <f>D69*$I$8</f>
        <v>8.3405302543798339</v>
      </c>
      <c r="F69">
        <f>E69</f>
        <v>8.3405302543798339</v>
      </c>
      <c r="H69" s="5"/>
    </row>
    <row r="70" spans="1:8" x14ac:dyDescent="0.2">
      <c r="A70" s="10" t="s">
        <v>79</v>
      </c>
      <c r="B70">
        <v>75.969404351752502</v>
      </c>
      <c r="C70" s="3">
        <f>1000/B70</f>
        <v>13.163193900663135</v>
      </c>
      <c r="D70" s="4">
        <f>C70/$C$78</f>
        <v>1.7920594619151114E-2</v>
      </c>
      <c r="E70" s="1">
        <f>D70*$I$8</f>
        <v>12.54441623340578</v>
      </c>
      <c r="F70">
        <f>E70</f>
        <v>12.54441623340578</v>
      </c>
      <c r="H70" s="5"/>
    </row>
    <row r="71" spans="1:8" x14ac:dyDescent="0.2">
      <c r="A71" s="10" t="s">
        <v>72</v>
      </c>
      <c r="B71">
        <v>65.539122559854988</v>
      </c>
      <c r="C71" s="3">
        <f>1000/B71</f>
        <v>15.258062069517774</v>
      </c>
      <c r="D71" s="4">
        <f>C71/$C$78</f>
        <v>2.0772583545084673E-2</v>
      </c>
      <c r="E71" s="1">
        <f>D71*$I$8</f>
        <v>14.540808481559271</v>
      </c>
      <c r="F71">
        <f>E71</f>
        <v>14.540808481559271</v>
      </c>
      <c r="H71" s="5"/>
    </row>
    <row r="72" spans="1:8" x14ac:dyDescent="0.2">
      <c r="A72" s="10" t="s">
        <v>73</v>
      </c>
      <c r="B72">
        <v>59.158102003468798</v>
      </c>
      <c r="C72" s="3">
        <f>1000/B72</f>
        <v>16.903855366106303</v>
      </c>
      <c r="D72" s="4">
        <f>C72/$C$78</f>
        <v>2.3013194351067977E-2</v>
      </c>
      <c r="E72" s="1">
        <f>D72*$I$8</f>
        <v>16.109236045747583</v>
      </c>
      <c r="F72">
        <f>E72</f>
        <v>16.109236045747583</v>
      </c>
      <c r="H72" s="5"/>
    </row>
    <row r="73" spans="1:8" x14ac:dyDescent="0.2">
      <c r="A73" s="10" t="s">
        <v>74</v>
      </c>
      <c r="B73">
        <v>219.33134950885596</v>
      </c>
      <c r="C73" s="3">
        <f>1000/B73</f>
        <v>4.5593117547458615</v>
      </c>
      <c r="D73" s="4">
        <f>C73/$C$78</f>
        <v>6.2071240700188237E-3</v>
      </c>
      <c r="E73" s="1">
        <f>D73*$I$8</f>
        <v>4.3449868490131767</v>
      </c>
      <c r="F73">
        <f>E73</f>
        <v>4.3449868490131767</v>
      </c>
      <c r="H73" s="5"/>
    </row>
    <row r="74" spans="1:8" x14ac:dyDescent="0.2">
      <c r="A74" s="10" t="s">
        <v>75</v>
      </c>
      <c r="B74">
        <v>55.446994272753997</v>
      </c>
      <c r="C74" s="3">
        <f>1000/B74</f>
        <v>18.035242723542694</v>
      </c>
      <c r="D74" s="4">
        <f>C74/$C$78</f>
        <v>2.4553484218622749E-2</v>
      </c>
      <c r="E74" s="1">
        <f>D74*$I$8</f>
        <v>17.187438953035922</v>
      </c>
      <c r="F74">
        <f>E74</f>
        <v>17.187438953035922</v>
      </c>
      <c r="H74" s="5"/>
    </row>
    <row r="75" spans="1:8" x14ac:dyDescent="0.2">
      <c r="A75" s="10" t="s">
        <v>76</v>
      </c>
      <c r="B75">
        <v>441.03980979467804</v>
      </c>
      <c r="C75" s="3">
        <f>1000/B75</f>
        <v>2.2673690170180798</v>
      </c>
      <c r="D75" s="4">
        <f>C75/$C$78</f>
        <v>3.0868344956885554E-3</v>
      </c>
      <c r="E75" s="1">
        <f>D75*$I$8</f>
        <v>2.1607841469819888</v>
      </c>
      <c r="F75">
        <f>E75</f>
        <v>2.1607841469819888</v>
      </c>
      <c r="H75" s="5"/>
    </row>
    <row r="76" spans="1:8" x14ac:dyDescent="0.2">
      <c r="A76" s="10" t="s">
        <v>77</v>
      </c>
      <c r="B76">
        <v>434.67993392188305</v>
      </c>
      <c r="C76" s="3">
        <f>1000/B76</f>
        <v>2.3005432778493784</v>
      </c>
      <c r="D76" s="4">
        <f>C76/$C$78</f>
        <v>3.1319984949910143E-3</v>
      </c>
      <c r="E76" s="1">
        <f>D76*$I$8</f>
        <v>2.1923989464937099</v>
      </c>
      <c r="F76">
        <f>E76</f>
        <v>2.1923989464937099</v>
      </c>
      <c r="H76" s="5"/>
    </row>
    <row r="77" spans="1:8" x14ac:dyDescent="0.2">
      <c r="A77" s="10" t="s">
        <v>78</v>
      </c>
      <c r="B77">
        <v>96.160825205345986</v>
      </c>
      <c r="C77" s="3">
        <f>1000/B77</f>
        <v>10.399245200574732</v>
      </c>
      <c r="D77" s="4">
        <f>C77/$C$78</f>
        <v>1.4157708151306967E-2</v>
      </c>
      <c r="E77" s="1">
        <f>D77*$I$8</f>
        <v>9.9103957059148762</v>
      </c>
      <c r="F77">
        <f>E77</f>
        <v>9.9103957059148762</v>
      </c>
      <c r="H77" s="5"/>
    </row>
    <row r="78" spans="1:8" x14ac:dyDescent="0.2">
      <c r="C78" s="5">
        <f>SUM(C2:C77)</f>
        <v>734.52885802104402</v>
      </c>
      <c r="D78" s="7">
        <f>SUM(D2:D77)</f>
        <v>1.0000000000000004</v>
      </c>
      <c r="E78" s="6"/>
      <c r="F78">
        <f>SUM(F2:F77)</f>
        <v>699.99999999999977</v>
      </c>
    </row>
    <row r="100" spans="4:6" x14ac:dyDescent="0.2">
      <c r="D100" t="s">
        <v>80</v>
      </c>
      <c r="E100">
        <f>COUNTIF(E2:E77,"&gt;20")</f>
        <v>0</v>
      </c>
      <c r="F100">
        <f>COUNTIF(F2:F77,"&gt;20")</f>
        <v>0</v>
      </c>
    </row>
    <row r="101" spans="4:6" x14ac:dyDescent="0.2">
      <c r="D101" t="s">
        <v>81</v>
      </c>
      <c r="E101">
        <f>COUNTIF(E2:E77,"&lt;2")</f>
        <v>0</v>
      </c>
      <c r="F101">
        <f>COUNTIF(F2:F77,"&lt;2")</f>
        <v>0</v>
      </c>
    </row>
  </sheetData>
  <autoFilter ref="A1:F97" xr:uid="{28BED992-5A35-C04A-B93D-1D40901E3C36}">
    <sortState xmlns:xlrd2="http://schemas.microsoft.com/office/spreadsheetml/2017/richdata2" ref="A2:F97">
      <sortCondition ref="A1:A97"/>
    </sortState>
  </autoFilter>
  <phoneticPr fontId="3" type="noConversion"/>
  <conditionalFormatting sqref="E2:E7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43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MTMyOC42MDAwMDAwMDAwMDAxfDQ5MTYxNS8xMDIyL0VudHJ5UGFydC8xNjQ0MzcwMDgzfDMzNzIuNg==</eid>
  <version>1</version>
  <updated-at>2021-03-24T13:06:01-04:00</updated-at>
</LabArchives>
</file>

<file path=customXml/itemProps1.xml><?xml version="1.0" encoding="utf-8"?>
<ds:datastoreItem xmlns:ds="http://schemas.openxmlformats.org/officeDocument/2006/customXml" ds:itemID="{2B858656-34D2-49E2-B2DF-FFA9EE64910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gDNA plate-4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2020-09-19T04:28:11Z</cp:lastPrinted>
  <dcterms:created xsi:type="dcterms:W3CDTF">2020-09-17T15:23:43Z</dcterms:created>
  <dcterms:modified xsi:type="dcterms:W3CDTF">2021-05-07T20:16:07Z</dcterms:modified>
</cp:coreProperties>
</file>