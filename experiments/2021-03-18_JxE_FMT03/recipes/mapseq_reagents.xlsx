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3-18_JxE_FMT03/recipes/"/>
    </mc:Choice>
  </mc:AlternateContent>
  <xr:revisionPtr revIDLastSave="0" documentId="13_ncr:1_{EA28EC85-1621-8D41-96B4-16354636B14F}" xr6:coauthVersionLast="46" xr6:coauthVersionMax="46" xr10:uidLastSave="{00000000-0000-0000-0000-000000000000}"/>
  <bookViews>
    <workbookView xWindow="2620" yWindow="8820" windowWidth="23620" windowHeight="14760" xr2:uid="{77C98D8C-3399-CF45-8F93-28FF8A5A96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D32" i="1" s="1"/>
  <c r="C4" i="1"/>
  <c r="D28" i="1" l="1"/>
  <c r="D31" i="1"/>
  <c r="D30" i="1"/>
  <c r="D29" i="1"/>
  <c r="D3" i="1"/>
  <c r="D4" i="1"/>
  <c r="D11" i="1" l="1"/>
  <c r="D9" i="1"/>
  <c r="D10" i="1"/>
  <c r="D8" i="1"/>
</calcChain>
</file>

<file path=xl/sharedStrings.xml><?xml version="1.0" encoding="utf-8"?>
<sst xmlns="http://schemas.openxmlformats.org/spreadsheetml/2006/main" count="42" uniqueCount="30">
  <si>
    <t>embedding Solution</t>
  </si>
  <si>
    <t>Forward Primer</t>
  </si>
  <si>
    <t>1X</t>
  </si>
  <si>
    <t>Monomer</t>
  </si>
  <si>
    <t>4HT</t>
  </si>
  <si>
    <t>TEMED</t>
  </si>
  <si>
    <t>APS</t>
  </si>
  <si>
    <t>Total</t>
  </si>
  <si>
    <t>nsamples</t>
  </si>
  <si>
    <t>excess</t>
  </si>
  <si>
    <t>Acrylimide</t>
  </si>
  <si>
    <t>N,N'-methylenebis (acrylamide)</t>
  </si>
  <si>
    <t xml:space="preserve">10X PBS </t>
  </si>
  <si>
    <t>NFW</t>
  </si>
  <si>
    <t>dry, g</t>
  </si>
  <si>
    <t>mL</t>
  </si>
  <si>
    <t>1g</t>
  </si>
  <si>
    <t>1mL</t>
  </si>
  <si>
    <t>Amt</t>
  </si>
  <si>
    <t>APS Soln</t>
  </si>
  <si>
    <t>TEMED Soln</t>
  </si>
  <si>
    <t>0.1mL</t>
  </si>
  <si>
    <t>0.9mL</t>
  </si>
  <si>
    <t>4HT Soln</t>
  </si>
  <si>
    <t>.0005g</t>
  </si>
  <si>
    <t>Perm Buffer</t>
  </si>
  <si>
    <t>PBS</t>
  </si>
  <si>
    <t>Triton-X 100</t>
  </si>
  <si>
    <t>1X (uL)</t>
  </si>
  <si>
    <t>Total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</si>
</sst>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1" fillId="0" borderId="0" xfId="0" applyFont="1" applyAlignment="1">
      <alignment horizontal="center" textRotation="90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C61C-E964-8F48-8968-849E55511C89}">
  <sheetPr>
    <pageSetUpPr fitToPage="1"/>
  </sheetPr>
  <dimension ref="A1:G32"/>
  <sheetViews>
    <sheetView tabSelected="1" workbookViewId="0">
      <selection activeCell="F11" sqref="F11"/>
    </sheetView>
  </sheetViews>
  <sheetFormatPr baseColWidth="10" defaultRowHeight="16" x14ac:dyDescent="0.2"/>
  <cols>
    <col min="1" max="1" width="4.83203125" customWidth="1"/>
    <col min="2" max="2" width="27.6640625" customWidth="1"/>
  </cols>
  <sheetData>
    <row r="1" spans="1:7" ht="17" thickBot="1" x14ac:dyDescent="0.25"/>
    <row r="2" spans="1:7" ht="17" thickBot="1" x14ac:dyDescent="0.25">
      <c r="B2" s="8" t="s">
        <v>25</v>
      </c>
      <c r="C2" s="9" t="s">
        <v>28</v>
      </c>
      <c r="D2" s="10" t="s">
        <v>29</v>
      </c>
    </row>
    <row r="3" spans="1:7" x14ac:dyDescent="0.2">
      <c r="B3" s="12" t="s">
        <v>26</v>
      </c>
      <c r="C3" s="17">
        <v>200</v>
      </c>
      <c r="D3" s="13">
        <f>C3*G8</f>
        <v>23200</v>
      </c>
    </row>
    <row r="4" spans="1:7" ht="17" thickBot="1" x14ac:dyDescent="0.25">
      <c r="B4" s="3" t="s">
        <v>27</v>
      </c>
      <c r="C4" s="4">
        <f>C3/1000</f>
        <v>0.2</v>
      </c>
      <c r="D4" s="11">
        <f>C4*$G$8</f>
        <v>23.200000000000003</v>
      </c>
    </row>
    <row r="6" spans="1:7" ht="17" thickBot="1" x14ac:dyDescent="0.25"/>
    <row r="7" spans="1:7" ht="17" thickBot="1" x14ac:dyDescent="0.25">
      <c r="B7" s="15" t="s">
        <v>3</v>
      </c>
      <c r="C7" s="16" t="s">
        <v>2</v>
      </c>
      <c r="D7" s="16" t="s">
        <v>7</v>
      </c>
      <c r="F7" t="s">
        <v>8</v>
      </c>
      <c r="G7">
        <f>24*4</f>
        <v>96</v>
      </c>
    </row>
    <row r="8" spans="1:7" ht="17" thickBot="1" x14ac:dyDescent="0.25">
      <c r="A8" s="14" t="s">
        <v>14</v>
      </c>
      <c r="B8" s="12" t="s">
        <v>10</v>
      </c>
      <c r="C8" s="17">
        <v>1</v>
      </c>
      <c r="D8" s="13">
        <f>C8*ROUNDUP($D$29/(SUM($C$10:$C$11)*1000),0)</f>
        <v>2</v>
      </c>
      <c r="F8" t="s">
        <v>9</v>
      </c>
      <c r="G8">
        <f>ROUNDUP(G7*1.2, 0)</f>
        <v>116</v>
      </c>
    </row>
    <row r="9" spans="1:7" ht="17" thickBot="1" x14ac:dyDescent="0.25">
      <c r="A9" s="14"/>
      <c r="B9" s="3" t="s">
        <v>11</v>
      </c>
      <c r="C9" s="4">
        <v>2.5000000000000001E-2</v>
      </c>
      <c r="D9" s="13">
        <f t="shared" ref="D9:D11" si="0">C9*ROUNDUP($D$29/(SUM($C$10:$C$11)*1000),0)</f>
        <v>0.05</v>
      </c>
    </row>
    <row r="10" spans="1:7" ht="17" thickBot="1" x14ac:dyDescent="0.25">
      <c r="A10" s="14" t="s">
        <v>15</v>
      </c>
      <c r="B10" s="5" t="s">
        <v>12</v>
      </c>
      <c r="C10" s="6">
        <v>1</v>
      </c>
      <c r="D10" s="13">
        <f t="shared" si="0"/>
        <v>2</v>
      </c>
    </row>
    <row r="11" spans="1:7" ht="17" thickBot="1" x14ac:dyDescent="0.25">
      <c r="A11" s="14"/>
      <c r="B11" s="3" t="s">
        <v>13</v>
      </c>
      <c r="C11" s="4">
        <v>3</v>
      </c>
      <c r="D11" s="13">
        <f t="shared" si="0"/>
        <v>6</v>
      </c>
    </row>
    <row r="13" spans="1:7" ht="17" thickBot="1" x14ac:dyDescent="0.25"/>
    <row r="14" spans="1:7" ht="17" thickBot="1" x14ac:dyDescent="0.25">
      <c r="B14" s="8" t="s">
        <v>19</v>
      </c>
      <c r="C14" s="10" t="s">
        <v>18</v>
      </c>
    </row>
    <row r="15" spans="1:7" x14ac:dyDescent="0.2">
      <c r="B15" s="5" t="s">
        <v>6</v>
      </c>
      <c r="C15" s="7" t="s">
        <v>16</v>
      </c>
    </row>
    <row r="16" spans="1:7" ht="17" thickBot="1" x14ac:dyDescent="0.25">
      <c r="B16" s="3" t="s">
        <v>13</v>
      </c>
      <c r="C16" s="11" t="s">
        <v>17</v>
      </c>
    </row>
    <row r="17" spans="2:4" ht="17" thickBot="1" x14ac:dyDescent="0.25"/>
    <row r="18" spans="2:4" ht="17" thickBot="1" x14ac:dyDescent="0.25">
      <c r="B18" s="8" t="s">
        <v>20</v>
      </c>
      <c r="C18" s="10" t="s">
        <v>18</v>
      </c>
    </row>
    <row r="19" spans="2:4" x14ac:dyDescent="0.2">
      <c r="B19" s="12" t="s">
        <v>5</v>
      </c>
      <c r="C19" s="13" t="s">
        <v>21</v>
      </c>
    </row>
    <row r="20" spans="2:4" ht="17" thickBot="1" x14ac:dyDescent="0.25">
      <c r="B20" s="3" t="s">
        <v>13</v>
      </c>
      <c r="C20" s="11" t="s">
        <v>22</v>
      </c>
    </row>
    <row r="21" spans="2:4" ht="17" thickBot="1" x14ac:dyDescent="0.25"/>
    <row r="22" spans="2:4" ht="17" thickBot="1" x14ac:dyDescent="0.25">
      <c r="B22" s="8" t="s">
        <v>23</v>
      </c>
      <c r="C22" s="10" t="s">
        <v>18</v>
      </c>
    </row>
    <row r="23" spans="2:4" x14ac:dyDescent="0.2">
      <c r="B23" s="5" t="s">
        <v>4</v>
      </c>
      <c r="C23" s="7" t="s">
        <v>24</v>
      </c>
    </row>
    <row r="24" spans="2:4" ht="17" thickBot="1" x14ac:dyDescent="0.25">
      <c r="B24" s="3" t="s">
        <v>13</v>
      </c>
      <c r="C24" s="11" t="s">
        <v>17</v>
      </c>
    </row>
    <row r="26" spans="2:4" ht="17" thickBot="1" x14ac:dyDescent="0.25"/>
    <row r="27" spans="2:4" ht="17" thickBot="1" x14ac:dyDescent="0.25">
      <c r="B27" s="8" t="s">
        <v>0</v>
      </c>
      <c r="C27" s="9" t="s">
        <v>28</v>
      </c>
      <c r="D27" s="10" t="s">
        <v>29</v>
      </c>
    </row>
    <row r="28" spans="2:4" x14ac:dyDescent="0.2">
      <c r="B28" s="5" t="s">
        <v>1</v>
      </c>
      <c r="C28" s="6">
        <v>4</v>
      </c>
      <c r="D28" s="7">
        <f>C28*($G$8/10)*2</f>
        <v>92.8</v>
      </c>
    </row>
    <row r="29" spans="2:4" x14ac:dyDescent="0.2">
      <c r="B29" s="2" t="s">
        <v>3</v>
      </c>
      <c r="C29" s="1">
        <v>184</v>
      </c>
      <c r="D29" s="7">
        <f t="shared" ref="D29:D32" si="1">C29*($G$8/10)*2</f>
        <v>4268.8</v>
      </c>
    </row>
    <row r="30" spans="2:4" x14ac:dyDescent="0.2">
      <c r="B30" s="2" t="s">
        <v>4</v>
      </c>
      <c r="C30" s="1">
        <v>4</v>
      </c>
      <c r="D30" s="7">
        <f t="shared" si="1"/>
        <v>92.8</v>
      </c>
    </row>
    <row r="31" spans="2:4" x14ac:dyDescent="0.2">
      <c r="B31" s="2" t="s">
        <v>5</v>
      </c>
      <c r="C31" s="1">
        <v>4</v>
      </c>
      <c r="D31" s="7">
        <f t="shared" si="1"/>
        <v>92.8</v>
      </c>
    </row>
    <row r="32" spans="2:4" ht="17" thickBot="1" x14ac:dyDescent="0.25">
      <c r="B32" s="3" t="s">
        <v>6</v>
      </c>
      <c r="C32" s="4">
        <v>4</v>
      </c>
      <c r="D32" s="7">
        <f t="shared" si="1"/>
        <v>92.8</v>
      </c>
    </row>
  </sheetData>
  <mergeCells count="2">
    <mergeCell ref="A8:A9"/>
    <mergeCell ref="A10:A11"/>
  </mergeCells>
  <pageMargins left="0.7" right="0.7" top="0.75" bottom="0.75" header="0.3" footer="0.3"/>
  <pageSetup scale="98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2021-06-02T19:37:53Z</cp:lastPrinted>
  <dcterms:created xsi:type="dcterms:W3CDTF">2021-06-02T18:09:49Z</dcterms:created>
  <dcterms:modified xsi:type="dcterms:W3CDTF">2021-06-09T18:14:36Z</dcterms:modified>
</cp:coreProperties>
</file>