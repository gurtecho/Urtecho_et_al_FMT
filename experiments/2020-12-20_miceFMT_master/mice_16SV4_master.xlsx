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uangyiming/Desktop/"/>
    </mc:Choice>
  </mc:AlternateContent>
  <xr:revisionPtr revIDLastSave="0" documentId="13_ncr:1_{63342461-4E80-0C43-AD4B-762D7F53FCD7}" xr6:coauthVersionLast="45" xr6:coauthVersionMax="45" xr10:uidLastSave="{00000000-0000-0000-0000-000000000000}"/>
  <bookViews>
    <workbookView xWindow="0" yWindow="0" windowWidth="28800" windowHeight="18000" activeTab="11" xr2:uid="{A60CA045-FCF0-0448-930A-13669E5659AE}"/>
  </bookViews>
  <sheets>
    <sheet name="FMT_pairwise_cohousing" sheetId="1" r:id="rId1"/>
    <sheet name="AZ-related" sheetId="2" r:id="rId2"/>
    <sheet name="FMT_J_E_cohousing" sheetId="3" r:id="rId3"/>
    <sheet name="J_diet_DJC" sheetId="6" r:id="rId4"/>
    <sheet name="J_diet_EDC" sheetId="7" r:id="rId5"/>
    <sheet name="J_T_diet_FDC" sheetId="8" r:id="rId6"/>
    <sheet name="J_FMT" sheetId="9" r:id="rId7"/>
    <sheet name="E_J_feces_culture" sheetId="10" r:id="rId8"/>
    <sheet name="E_J_feces_culture2" sheetId="15" r:id="rId9"/>
    <sheet name="GF_FMT" sheetId="11" r:id="rId10"/>
    <sheet name="J_FMT_complexity" sheetId="13" r:id="rId11"/>
    <sheet name="J_FMT_strain" sheetId="14" r:id="rId12"/>
  </sheets>
  <definedNames>
    <definedName name="miseq_AZ.list" localSheetId="1">'AZ-related'!#REF!</definedName>
    <definedName name="miseq_AZ.list_1" localSheetId="1">'AZ-related'!$A$22:$A$22</definedName>
    <definedName name="miseq_AZ.list_1" localSheetId="4">J_diet_EDC!$A$12</definedName>
    <definedName name="miseq_AZ.list_1" localSheetId="6">J_FMT!$A$16</definedName>
    <definedName name="miseq_AZ.list_1" localSheetId="10">J_FMT_complexity!#REF!</definedName>
    <definedName name="miseq_AZ.list_1" localSheetId="5">J_T_diet_FDC!#REF!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18" i="2" l="1"/>
  <c r="AB17" i="2"/>
  <c r="Q17" i="2"/>
  <c r="R17" i="2"/>
  <c r="S17" i="2"/>
  <c r="T17" i="2"/>
  <c r="Q18" i="2"/>
  <c r="R18" i="2"/>
  <c r="S18" i="2"/>
  <c r="T18" i="2"/>
  <c r="I17" i="2"/>
  <c r="J17" i="2"/>
  <c r="K17" i="2"/>
  <c r="L17" i="2"/>
  <c r="M17" i="2"/>
  <c r="N17" i="2"/>
  <c r="O17" i="2"/>
  <c r="P17" i="2"/>
  <c r="I18" i="2"/>
  <c r="J18" i="2"/>
  <c r="K18" i="2"/>
  <c r="L18" i="2"/>
  <c r="M18" i="2"/>
  <c r="N18" i="2"/>
  <c r="O18" i="2"/>
  <c r="P18" i="2"/>
  <c r="H18" i="2"/>
  <c r="H17" i="2"/>
  <c r="G3" i="14"/>
  <c r="H3" i="14"/>
  <c r="I3" i="14"/>
  <c r="G4" i="14"/>
  <c r="H4" i="14"/>
  <c r="I4" i="14"/>
  <c r="G5" i="14"/>
  <c r="H5" i="14"/>
  <c r="I5" i="14"/>
  <c r="G6" i="14"/>
  <c r="H6" i="14"/>
  <c r="I6" i="14"/>
  <c r="G7" i="14"/>
  <c r="H7" i="14"/>
  <c r="I7" i="14"/>
  <c r="G8" i="14"/>
  <c r="H8" i="14"/>
  <c r="I8" i="14"/>
  <c r="F8" i="14"/>
  <c r="F7" i="14"/>
  <c r="F6" i="14"/>
  <c r="F5" i="14"/>
  <c r="F4" i="14"/>
  <c r="F3" i="14"/>
  <c r="G4" i="13"/>
  <c r="H4" i="13"/>
  <c r="I4" i="13"/>
  <c r="G5" i="13"/>
  <c r="H5" i="13"/>
  <c r="I5" i="13"/>
  <c r="G6" i="13"/>
  <c r="H6" i="13"/>
  <c r="I6" i="13"/>
  <c r="F6" i="13"/>
  <c r="F5" i="13"/>
  <c r="F4" i="13"/>
  <c r="G3" i="13"/>
  <c r="H3" i="13"/>
  <c r="I3" i="13"/>
  <c r="F3" i="13"/>
  <c r="E4" i="11"/>
  <c r="F4" i="11"/>
  <c r="G4" i="11"/>
  <c r="H4" i="11"/>
  <c r="I4" i="11"/>
  <c r="J4" i="11"/>
  <c r="E5" i="11"/>
  <c r="F5" i="11"/>
  <c r="G5" i="11"/>
  <c r="E6" i="11"/>
  <c r="F6" i="11"/>
  <c r="G6" i="11"/>
  <c r="H6" i="11"/>
  <c r="I6" i="11"/>
  <c r="J6" i="11"/>
  <c r="E7" i="11"/>
  <c r="F7" i="11"/>
  <c r="G7" i="11"/>
  <c r="H7" i="11"/>
  <c r="I7" i="11"/>
  <c r="J7" i="11"/>
  <c r="E8" i="11"/>
  <c r="F8" i="11"/>
  <c r="G8" i="11"/>
  <c r="E9" i="11"/>
  <c r="F9" i="11"/>
  <c r="G9" i="11"/>
  <c r="H9" i="11"/>
  <c r="I9" i="11"/>
  <c r="J9" i="11"/>
  <c r="E10" i="11"/>
  <c r="F10" i="11"/>
  <c r="G10" i="11"/>
  <c r="H10" i="11"/>
  <c r="I10" i="11"/>
  <c r="J10" i="11"/>
  <c r="E11" i="11"/>
  <c r="F11" i="11"/>
  <c r="G11" i="11"/>
  <c r="D11" i="11"/>
  <c r="D10" i="11"/>
  <c r="D9" i="11"/>
  <c r="D8" i="11"/>
  <c r="D7" i="11"/>
  <c r="D6" i="11"/>
  <c r="D5" i="11"/>
  <c r="D4" i="11"/>
  <c r="F3" i="11"/>
  <c r="G3" i="11"/>
  <c r="H3" i="11"/>
  <c r="I3" i="11"/>
  <c r="J3" i="11"/>
  <c r="D3" i="11"/>
  <c r="K12" i="9" l="1"/>
  <c r="F12" i="9"/>
  <c r="K11" i="9"/>
  <c r="F11" i="9"/>
  <c r="K10" i="9"/>
  <c r="F10" i="9"/>
  <c r="K9" i="9"/>
  <c r="F9" i="9"/>
  <c r="K8" i="9"/>
  <c r="F8" i="9"/>
  <c r="F7" i="9"/>
  <c r="K6" i="9"/>
  <c r="F6" i="9"/>
  <c r="K5" i="9"/>
  <c r="F5" i="9"/>
  <c r="P4" i="9"/>
  <c r="Q4" i="9"/>
  <c r="R4" i="9"/>
  <c r="S4" i="9"/>
  <c r="T4" i="9"/>
  <c r="G4" i="9"/>
  <c r="H4" i="9"/>
  <c r="I4" i="9"/>
  <c r="J4" i="9"/>
  <c r="K4" i="9"/>
  <c r="L4" i="9"/>
  <c r="M4" i="9"/>
  <c r="N4" i="9"/>
  <c r="O4" i="9"/>
  <c r="F4" i="9"/>
  <c r="O3" i="9"/>
  <c r="P3" i="9"/>
  <c r="Q3" i="9"/>
  <c r="R3" i="9"/>
  <c r="S3" i="9"/>
  <c r="T3" i="9"/>
  <c r="G3" i="9"/>
  <c r="H3" i="9"/>
  <c r="I3" i="9"/>
  <c r="J3" i="9"/>
  <c r="K3" i="9"/>
  <c r="L3" i="9"/>
  <c r="M3" i="9"/>
  <c r="N3" i="9"/>
  <c r="F3" i="9"/>
  <c r="H9" i="8"/>
  <c r="G9" i="8"/>
  <c r="F9" i="8"/>
  <c r="G5" i="8"/>
  <c r="H5" i="8"/>
  <c r="G6" i="8"/>
  <c r="H6" i="8"/>
  <c r="G7" i="8"/>
  <c r="H7" i="8"/>
  <c r="G8" i="8"/>
  <c r="H8" i="8"/>
  <c r="G10" i="8"/>
  <c r="H10" i="8"/>
  <c r="F10" i="8"/>
  <c r="F8" i="8"/>
  <c r="F7" i="8"/>
  <c r="F6" i="8"/>
  <c r="F5" i="8"/>
  <c r="H4" i="8"/>
  <c r="F4" i="8"/>
  <c r="H3" i="8"/>
  <c r="F3" i="8"/>
  <c r="G3" i="7"/>
  <c r="H3" i="7"/>
  <c r="G4" i="7"/>
  <c r="H4" i="7"/>
  <c r="G5" i="7"/>
  <c r="H5" i="7"/>
  <c r="G6" i="7"/>
  <c r="H6" i="7"/>
  <c r="G7" i="7"/>
  <c r="H7" i="7"/>
  <c r="G8" i="7"/>
  <c r="H8" i="7"/>
  <c r="F8" i="7"/>
  <c r="F7" i="7"/>
  <c r="F6" i="7"/>
  <c r="F5" i="7"/>
  <c r="F4" i="7"/>
  <c r="F3" i="7"/>
  <c r="G3" i="6"/>
  <c r="H3" i="6"/>
  <c r="I3" i="6"/>
  <c r="J3" i="6"/>
  <c r="K3" i="6"/>
  <c r="L3" i="6"/>
  <c r="G4" i="6"/>
  <c r="H4" i="6"/>
  <c r="I4" i="6"/>
  <c r="J4" i="6"/>
  <c r="K4" i="6"/>
  <c r="L4" i="6"/>
  <c r="G5" i="6"/>
  <c r="H5" i="6"/>
  <c r="I5" i="6"/>
  <c r="J5" i="6"/>
  <c r="K5" i="6"/>
  <c r="L5" i="6"/>
  <c r="F5" i="6"/>
  <c r="F4" i="6"/>
  <c r="F3" i="6"/>
  <c r="AD16" i="2" l="1"/>
  <c r="AE16" i="2"/>
  <c r="AF16" i="2"/>
  <c r="AG16" i="2"/>
  <c r="AH16" i="2"/>
  <c r="AI16" i="2"/>
  <c r="V16" i="2"/>
  <c r="W16" i="2"/>
  <c r="X16" i="2"/>
  <c r="Y16" i="2"/>
  <c r="Z16" i="2"/>
  <c r="AA16" i="2"/>
  <c r="AB16" i="2"/>
  <c r="AC16" i="2"/>
  <c r="M16" i="2"/>
  <c r="N16" i="2"/>
  <c r="O16" i="2"/>
  <c r="P16" i="2"/>
  <c r="Q16" i="2"/>
  <c r="R16" i="2"/>
  <c r="S16" i="2"/>
  <c r="T16" i="2"/>
  <c r="U16" i="2"/>
  <c r="L16" i="2"/>
  <c r="G16" i="2"/>
  <c r="H16" i="2"/>
  <c r="I16" i="2"/>
  <c r="J16" i="2"/>
  <c r="K16" i="2"/>
  <c r="F16" i="2"/>
  <c r="AF14" i="2"/>
  <c r="AG14" i="2"/>
  <c r="AH14" i="2"/>
  <c r="AI14" i="2"/>
  <c r="AF15" i="2"/>
  <c r="AG15" i="2"/>
  <c r="AH15" i="2"/>
  <c r="AI15" i="2"/>
  <c r="X14" i="2"/>
  <c r="Y14" i="2"/>
  <c r="Z14" i="2"/>
  <c r="AA14" i="2"/>
  <c r="AB14" i="2"/>
  <c r="AC14" i="2"/>
  <c r="AD14" i="2"/>
  <c r="AE14" i="2"/>
  <c r="X15" i="2"/>
  <c r="Y15" i="2"/>
  <c r="Z15" i="2"/>
  <c r="AA15" i="2"/>
  <c r="AB15" i="2"/>
  <c r="AC15" i="2"/>
  <c r="AD15" i="2"/>
  <c r="AE15" i="2"/>
  <c r="P14" i="2"/>
  <c r="Q14" i="2"/>
  <c r="R14" i="2"/>
  <c r="S14" i="2"/>
  <c r="T14" i="2"/>
  <c r="U14" i="2"/>
  <c r="V14" i="2"/>
  <c r="W14" i="2"/>
  <c r="P15" i="2"/>
  <c r="Q15" i="2"/>
  <c r="R15" i="2"/>
  <c r="S15" i="2"/>
  <c r="T15" i="2"/>
  <c r="U15" i="2"/>
  <c r="V15" i="2"/>
  <c r="W15" i="2"/>
  <c r="G14" i="2"/>
  <c r="H14" i="2"/>
  <c r="I14" i="2"/>
  <c r="J14" i="2"/>
  <c r="K14" i="2"/>
  <c r="L14" i="2"/>
  <c r="M14" i="2"/>
  <c r="N14" i="2"/>
  <c r="O14" i="2"/>
  <c r="G15" i="2"/>
  <c r="H15" i="2"/>
  <c r="I15" i="2"/>
  <c r="J15" i="2"/>
  <c r="K15" i="2"/>
  <c r="L15" i="2"/>
  <c r="M15" i="2"/>
  <c r="N15" i="2"/>
  <c r="O15" i="2"/>
  <c r="F15" i="2"/>
  <c r="F14" i="2"/>
  <c r="AI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F13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AI4" i="2"/>
  <c r="G4" i="2"/>
  <c r="H4" i="2"/>
  <c r="I4" i="2"/>
  <c r="J4" i="2"/>
  <c r="K4" i="2"/>
  <c r="L4" i="2"/>
  <c r="M4" i="2"/>
  <c r="N4" i="2"/>
  <c r="O4" i="2"/>
  <c r="P4" i="2"/>
  <c r="Q4" i="2"/>
  <c r="AG5" i="2"/>
  <c r="AH5" i="2"/>
  <c r="AI5" i="2"/>
  <c r="AG6" i="2"/>
  <c r="AH6" i="2"/>
  <c r="AI6" i="2"/>
  <c r="AG7" i="2"/>
  <c r="AH7" i="2"/>
  <c r="AI7" i="2"/>
  <c r="AG8" i="2"/>
  <c r="AH8" i="2"/>
  <c r="AI8" i="2"/>
  <c r="AG9" i="2"/>
  <c r="AH9" i="2"/>
  <c r="AI9" i="2"/>
  <c r="AG10" i="2"/>
  <c r="AH10" i="2"/>
  <c r="AI10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G5" i="2"/>
  <c r="H5" i="2"/>
  <c r="I5" i="2"/>
  <c r="J5" i="2"/>
  <c r="K5" i="2"/>
  <c r="L5" i="2"/>
  <c r="M5" i="2"/>
  <c r="N5" i="2"/>
  <c r="O5" i="2"/>
  <c r="P5" i="2"/>
  <c r="Q5" i="2"/>
  <c r="R5" i="2"/>
  <c r="G6" i="2"/>
  <c r="H6" i="2"/>
  <c r="I6" i="2"/>
  <c r="J6" i="2"/>
  <c r="K6" i="2"/>
  <c r="L6" i="2"/>
  <c r="M6" i="2"/>
  <c r="N6" i="2"/>
  <c r="O6" i="2"/>
  <c r="P6" i="2"/>
  <c r="Q6" i="2"/>
  <c r="R6" i="2"/>
  <c r="G7" i="2"/>
  <c r="H7" i="2"/>
  <c r="I7" i="2"/>
  <c r="J7" i="2"/>
  <c r="K7" i="2"/>
  <c r="L7" i="2"/>
  <c r="M7" i="2"/>
  <c r="N7" i="2"/>
  <c r="O7" i="2"/>
  <c r="P7" i="2"/>
  <c r="Q7" i="2"/>
  <c r="R7" i="2"/>
  <c r="G8" i="2"/>
  <c r="H8" i="2"/>
  <c r="I8" i="2"/>
  <c r="J8" i="2"/>
  <c r="K8" i="2"/>
  <c r="L8" i="2"/>
  <c r="M8" i="2"/>
  <c r="N8" i="2"/>
  <c r="O8" i="2"/>
  <c r="P8" i="2"/>
  <c r="Q8" i="2"/>
  <c r="R8" i="2"/>
  <c r="G9" i="2"/>
  <c r="H9" i="2"/>
  <c r="I9" i="2"/>
  <c r="J9" i="2"/>
  <c r="K9" i="2"/>
  <c r="L9" i="2"/>
  <c r="M9" i="2"/>
  <c r="N9" i="2"/>
  <c r="O9" i="2"/>
  <c r="P9" i="2"/>
  <c r="Q9" i="2"/>
  <c r="R9" i="2"/>
  <c r="G10" i="2"/>
  <c r="H10" i="2"/>
  <c r="I10" i="2"/>
  <c r="J10" i="2"/>
  <c r="K10" i="2"/>
  <c r="L10" i="2"/>
  <c r="M10" i="2"/>
  <c r="N10" i="2"/>
  <c r="O10" i="2"/>
  <c r="P10" i="2"/>
  <c r="Q10" i="2"/>
  <c r="R10" i="2"/>
  <c r="F10" i="2"/>
  <c r="F9" i="2"/>
  <c r="F8" i="2"/>
  <c r="F7" i="2"/>
  <c r="F6" i="2"/>
  <c r="F5" i="2"/>
  <c r="F4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F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72A467-6615-084B-9A87-A925AD01C63A}" name="miseq_AZ.list1" type="6" refreshedVersion="6" background="1" saveData="1">
    <textPr codePage="10000" sourceFile="/Users/huangyiming/Desktop/miseq_AZ.list.txt">
      <textFields>
        <textField/>
      </textFields>
    </textPr>
  </connection>
  <connection id="2" xr16:uid="{6DDCBEA5-5766-A24A-A4AF-4AD6CD1106EB}" name="miseq_AZ.list11" type="6" refreshedVersion="6" background="1" saveData="1">
    <textPr codePage="10000" sourceFile="/Users/huangyiming/Desktop/miseq_AZ.list.txt">
      <textFields>
        <textField/>
      </textFields>
    </textPr>
  </connection>
  <connection id="3" xr16:uid="{0A562852-23D6-AB48-8B26-9AAB8FD37B3F}" name="miseq_AZ.list12" type="6" refreshedVersion="6" background="1" saveData="1">
    <textPr codePage="10000" sourceFile="/Users/huangyiming/Desktop/miseq_AZ.list.txt">
      <textFields>
        <textField/>
      </textFields>
    </textPr>
  </connection>
</connections>
</file>

<file path=xl/sharedStrings.xml><?xml version="1.0" encoding="utf-8"?>
<sst xmlns="http://schemas.openxmlformats.org/spreadsheetml/2006/main" count="1264" uniqueCount="518">
  <si>
    <t>C11d0</t>
  </si>
  <si>
    <t>C11d5</t>
  </si>
  <si>
    <t>C12d0</t>
  </si>
  <si>
    <t>C12d5</t>
  </si>
  <si>
    <t>C13d0</t>
  </si>
  <si>
    <t>C13d5</t>
  </si>
  <si>
    <t>C14d0</t>
  </si>
  <si>
    <t>C14d5</t>
  </si>
  <si>
    <t>C15d0</t>
  </si>
  <si>
    <t>C15d5</t>
  </si>
  <si>
    <t>C21d0</t>
  </si>
  <si>
    <t>C21d5</t>
  </si>
  <si>
    <t>C22d0</t>
  </si>
  <si>
    <t>C22d5</t>
  </si>
  <si>
    <t>C23d0</t>
  </si>
  <si>
    <t>C23d5</t>
  </si>
  <si>
    <t>C24d0</t>
  </si>
  <si>
    <t>C24d5</t>
  </si>
  <si>
    <t>C25d0</t>
  </si>
  <si>
    <t>C25d5</t>
  </si>
  <si>
    <t>E11d0</t>
  </si>
  <si>
    <t>E11d5</t>
  </si>
  <si>
    <t>E12d0</t>
  </si>
  <si>
    <t>E12d5</t>
  </si>
  <si>
    <t>E13d0</t>
  </si>
  <si>
    <t>E13d5</t>
  </si>
  <si>
    <t>E14d0</t>
  </si>
  <si>
    <t>E14d5</t>
  </si>
  <si>
    <t>E15d0</t>
  </si>
  <si>
    <t>E15d5</t>
  </si>
  <si>
    <t>E21d0</t>
  </si>
  <si>
    <t>E21d5</t>
  </si>
  <si>
    <t>E22d0</t>
  </si>
  <si>
    <t>E22d5</t>
  </si>
  <si>
    <t>E23d0</t>
  </si>
  <si>
    <t>E23d5</t>
  </si>
  <si>
    <t>E24d0</t>
  </si>
  <si>
    <t>E24d5</t>
  </si>
  <si>
    <t>E25d0</t>
  </si>
  <si>
    <t>E25d5</t>
  </si>
  <si>
    <t>J11d0</t>
  </si>
  <si>
    <t>J11d5</t>
  </si>
  <si>
    <t>J12d0</t>
  </si>
  <si>
    <t>J12d5</t>
  </si>
  <si>
    <t>J13d0</t>
  </si>
  <si>
    <t>J13d5</t>
  </si>
  <si>
    <t>J14d0</t>
  </si>
  <si>
    <t>J14d5</t>
  </si>
  <si>
    <t>J15d0</t>
  </si>
  <si>
    <t>J15d5</t>
  </si>
  <si>
    <t>J21d0</t>
  </si>
  <si>
    <t>J21d5</t>
  </si>
  <si>
    <t>J22d0</t>
  </si>
  <si>
    <t>J22d5</t>
  </si>
  <si>
    <t>J23d0</t>
  </si>
  <si>
    <t>J23d5</t>
  </si>
  <si>
    <t>J24d0</t>
  </si>
  <si>
    <t>J24d5</t>
  </si>
  <si>
    <t>J25d0</t>
  </si>
  <si>
    <t>J25d5</t>
  </si>
  <si>
    <t>T11d0</t>
  </si>
  <si>
    <t>T11d5</t>
  </si>
  <si>
    <t>T12d0</t>
  </si>
  <si>
    <t>T12d5</t>
  </si>
  <si>
    <t>T13d0</t>
  </si>
  <si>
    <t>T13d5</t>
  </si>
  <si>
    <t>T14d0</t>
  </si>
  <si>
    <t>T14d5</t>
  </si>
  <si>
    <t>T15d0</t>
  </si>
  <si>
    <t>T15d5</t>
  </si>
  <si>
    <t>T21d0</t>
  </si>
  <si>
    <t>T21d5</t>
  </si>
  <si>
    <t>T22d0</t>
  </si>
  <si>
    <t>T22d5</t>
  </si>
  <si>
    <t>T23d0</t>
  </si>
  <si>
    <t>T23d5</t>
  </si>
  <si>
    <t>T24d0</t>
  </si>
  <si>
    <t>T24d5</t>
  </si>
  <si>
    <t>T25d0</t>
  </si>
  <si>
    <t>T25d5</t>
  </si>
  <si>
    <t>AZC2</t>
  </si>
  <si>
    <t>J1</t>
  </si>
  <si>
    <t>day-0</t>
  </si>
  <si>
    <t>day-5</t>
  </si>
  <si>
    <t>J2</t>
  </si>
  <si>
    <t>J3</t>
  </si>
  <si>
    <t>J</t>
  </si>
  <si>
    <t>J4</t>
  </si>
  <si>
    <t>AZC3</t>
  </si>
  <si>
    <t>AZC16FMTSol</t>
  </si>
  <si>
    <t>FMTCultEnvDil2</t>
  </si>
  <si>
    <t>FMTCultEnvDil3</t>
  </si>
  <si>
    <t>FMTCultEnvDil4</t>
  </si>
  <si>
    <t>FMTCultEnvDil5</t>
  </si>
  <si>
    <t>FMTCultEnvDil6</t>
  </si>
  <si>
    <t>FMTCultEnvInp</t>
  </si>
  <si>
    <t>FMTCultJaxDil2</t>
  </si>
  <si>
    <t>FMTCultJaxDil3</t>
  </si>
  <si>
    <t>FMTCultJaxDil4</t>
  </si>
  <si>
    <t>FMTCultJaxDil5</t>
  </si>
  <si>
    <t>FMTCultJaxDil6</t>
  </si>
  <si>
    <t>FMTCultJaxInp</t>
  </si>
  <si>
    <t>FMTCultMixDil2</t>
  </si>
  <si>
    <t>FMTCultMixDil3</t>
  </si>
  <si>
    <t>FMTCultMixDil4</t>
  </si>
  <si>
    <t>FMTCultMixDil5</t>
  </si>
  <si>
    <t>FMTCultMixDil6</t>
  </si>
  <si>
    <t>FMTCultMixInp</t>
  </si>
  <si>
    <t>Jackson</t>
  </si>
  <si>
    <t>AZC4</t>
  </si>
  <si>
    <t>AZC5</t>
  </si>
  <si>
    <t>AZC6</t>
  </si>
  <si>
    <t>AZC7</t>
  </si>
  <si>
    <t>AZC8</t>
  </si>
  <si>
    <t>AZC9</t>
  </si>
  <si>
    <t>AZC10</t>
  </si>
  <si>
    <t>Cage</t>
  </si>
  <si>
    <t>AZC11</t>
  </si>
  <si>
    <t>AZC12</t>
  </si>
  <si>
    <t>AZC14</t>
  </si>
  <si>
    <t>AZC15</t>
  </si>
  <si>
    <t>AZC16</t>
  </si>
  <si>
    <t>Supplier</t>
  </si>
  <si>
    <t>Taconic</t>
  </si>
  <si>
    <t>Envigo</t>
  </si>
  <si>
    <t>Charles River</t>
  </si>
  <si>
    <t># of mice</t>
  </si>
  <si>
    <t>control</t>
  </si>
  <si>
    <t>Perturbation</t>
  </si>
  <si>
    <t>Day</t>
  </si>
  <si>
    <t>m5</t>
  </si>
  <si>
    <t>Supplier abbr.</t>
  </si>
  <si>
    <t>T</t>
  </si>
  <si>
    <t>E</t>
  </si>
  <si>
    <t>C</t>
  </si>
  <si>
    <t>x = 1, 2, 3, 4</t>
  </si>
  <si>
    <t xml:space="preserve">AZC10J0d0y, AZC10J0d0fec,   AZC10J1d0fec, AZC10J2d0fec, AZC10J3d0fec, AZC10J4d0fec </t>
  </si>
  <si>
    <t>AZC10J2d1y</t>
  </si>
  <si>
    <t>AZC10J2d3y</t>
  </si>
  <si>
    <t>AZC10J3d7y</t>
  </si>
  <si>
    <t>y = cec, co1, co2, si3, si6</t>
  </si>
  <si>
    <t>AZC10J4d15y</t>
  </si>
  <si>
    <t xml:space="preserve">AZC11J0d0y, AZC11J0d0fec,   AZC11J1d0fec, AZC11J2d0fec, AZC11J3d0fec, AZC11J4d0fec </t>
  </si>
  <si>
    <t>AZC11J2d1y</t>
  </si>
  <si>
    <t>AZC11J2d3y</t>
  </si>
  <si>
    <t>AZC11J3d7y</t>
  </si>
  <si>
    <t>AZC11J4d15y</t>
  </si>
  <si>
    <t>45mg/kg Az at day-0</t>
  </si>
  <si>
    <t>45mg/kg Az at day-0, sac at different days</t>
  </si>
  <si>
    <t>Condition and Perturbation</t>
  </si>
  <si>
    <t xml:space="preserve">4.5mg/kg Az at day-0 for J1 &amp; J2;            45mg/kg Az with pediatric Az at day-0 for J3 &amp; J4; </t>
  </si>
  <si>
    <t>45mg/kg Ciprofloxacin at day-0</t>
  </si>
  <si>
    <t>90mg/kg Vancomycin at day-0</t>
  </si>
  <si>
    <t>45mg/kg Az at day-0, all mice were gavaged with feces from AZC3 at day-5</t>
  </si>
  <si>
    <t>Others</t>
  </si>
  <si>
    <t>Sample</t>
  </si>
  <si>
    <t>Description</t>
  </si>
  <si>
    <t>feces sample from AZC3 that AZC16 received at day-5</t>
  </si>
  <si>
    <t>F1</t>
  </si>
  <si>
    <t>T1.1</t>
  </si>
  <si>
    <t>T2.1</t>
  </si>
  <si>
    <t>F2</t>
  </si>
  <si>
    <t>T1.2</t>
  </si>
  <si>
    <t>T2.2</t>
  </si>
  <si>
    <t>J1.1</t>
  </si>
  <si>
    <t>J2.1</t>
  </si>
  <si>
    <t>F3</t>
  </si>
  <si>
    <t>T1.3</t>
  </si>
  <si>
    <t>T2.3</t>
  </si>
  <si>
    <t>E1.1</t>
  </si>
  <si>
    <t>E2.1</t>
  </si>
  <si>
    <t>F4</t>
  </si>
  <si>
    <t>T1.4</t>
  </si>
  <si>
    <t>T2.4</t>
  </si>
  <si>
    <t>C1.1</t>
  </si>
  <si>
    <t>C2.1</t>
  </si>
  <si>
    <t>F5</t>
  </si>
  <si>
    <t>J1.2</t>
  </si>
  <si>
    <t>J2.2</t>
  </si>
  <si>
    <t>F6</t>
  </si>
  <si>
    <t>J1.3</t>
  </si>
  <si>
    <t>J2.3</t>
  </si>
  <si>
    <t>E1.2</t>
  </si>
  <si>
    <t>E2.2</t>
  </si>
  <si>
    <t>F7</t>
  </si>
  <si>
    <t>J1.4</t>
  </si>
  <si>
    <t>J2.4</t>
  </si>
  <si>
    <t>C1.2</t>
  </si>
  <si>
    <t>C2.2</t>
  </si>
  <si>
    <t>F8</t>
  </si>
  <si>
    <t>E1.3</t>
  </si>
  <si>
    <t>E2.3</t>
  </si>
  <si>
    <t>F9</t>
  </si>
  <si>
    <t>E1.4</t>
  </si>
  <si>
    <t>E2.4</t>
  </si>
  <si>
    <t>C1.3</t>
  </si>
  <si>
    <t>C2.3</t>
  </si>
  <si>
    <t>F10</t>
  </si>
  <si>
    <t>C1.4</t>
  </si>
  <si>
    <t>C2.4</t>
  </si>
  <si>
    <t>F11</t>
  </si>
  <si>
    <t>T1.5</t>
  </si>
  <si>
    <t>J1.5</t>
  </si>
  <si>
    <t>E1.5</t>
  </si>
  <si>
    <t>C1.5</t>
  </si>
  <si>
    <t>F12</t>
  </si>
  <si>
    <t>T2.5</t>
  </si>
  <si>
    <t>J2.5</t>
  </si>
  <si>
    <t>E2.5</t>
  </si>
  <si>
    <t>C2.5</t>
  </si>
  <si>
    <t>Mice</t>
  </si>
  <si>
    <t>Note: co-housing experiment</t>
  </si>
  <si>
    <t>E1cecum</t>
  </si>
  <si>
    <t>E1d0</t>
  </si>
  <si>
    <t>E1distco</t>
  </si>
  <si>
    <t>E1feces</t>
  </si>
  <si>
    <t>E1si6</t>
  </si>
  <si>
    <t>E2cecum</t>
  </si>
  <si>
    <t>E2d0</t>
  </si>
  <si>
    <t>E2distco</t>
  </si>
  <si>
    <t>E2feces</t>
  </si>
  <si>
    <t>E2si6</t>
  </si>
  <si>
    <t>E3cecum</t>
  </si>
  <si>
    <t>E3d0</t>
  </si>
  <si>
    <t>E3distco</t>
  </si>
  <si>
    <t>E3feces</t>
  </si>
  <si>
    <t>E3si6</t>
  </si>
  <si>
    <t>E4cecum</t>
  </si>
  <si>
    <t>E4d0</t>
  </si>
  <si>
    <t>E4distco</t>
  </si>
  <si>
    <t>E4feces</t>
  </si>
  <si>
    <t>E4si6</t>
  </si>
  <si>
    <t>J1cecum</t>
  </si>
  <si>
    <t>J1d0</t>
  </si>
  <si>
    <t>J1distco</t>
  </si>
  <si>
    <t>J1feces</t>
  </si>
  <si>
    <t>J1si6</t>
  </si>
  <si>
    <t>J2cecum</t>
  </si>
  <si>
    <t>J2d0</t>
  </si>
  <si>
    <t>J2distco</t>
  </si>
  <si>
    <t>J2feces</t>
  </si>
  <si>
    <t>J2si6</t>
  </si>
  <si>
    <t>J3cecum</t>
  </si>
  <si>
    <t>J3d0</t>
  </si>
  <si>
    <t>J3distco</t>
  </si>
  <si>
    <t>J3feces</t>
  </si>
  <si>
    <t>J3si6</t>
  </si>
  <si>
    <t>J4cecum</t>
  </si>
  <si>
    <t>J4d0</t>
  </si>
  <si>
    <t>J4distco</t>
  </si>
  <si>
    <t>J4feces</t>
  </si>
  <si>
    <t>J4si6</t>
  </si>
  <si>
    <t>Type</t>
  </si>
  <si>
    <t>cecum</t>
  </si>
  <si>
    <t>feces</t>
  </si>
  <si>
    <t>si6</t>
  </si>
  <si>
    <t>distal colon (co2)</t>
  </si>
  <si>
    <t>Jax alone</t>
  </si>
  <si>
    <t>Envigo and Jax CH</t>
  </si>
  <si>
    <t>Envigo alone</t>
  </si>
  <si>
    <t>E1</t>
  </si>
  <si>
    <t>E2</t>
  </si>
  <si>
    <t>E3</t>
  </si>
  <si>
    <t>E4</t>
  </si>
  <si>
    <t>MaP-Seq was also performed on some co2 samples</t>
  </si>
  <si>
    <t>AZC1J1d0r1</t>
  </si>
  <si>
    <t>AZC1J1d0r2</t>
  </si>
  <si>
    <t>AZC1J1d12r1</t>
  </si>
  <si>
    <t>AZC1J1d1r1</t>
  </si>
  <si>
    <t>AZC1J1d1r2</t>
  </si>
  <si>
    <t>AZC1J1d20</t>
  </si>
  <si>
    <t>AZC1J1d28</t>
  </si>
  <si>
    <t>AZC1J1d2r1</t>
  </si>
  <si>
    <t>AZC1J1d35</t>
  </si>
  <si>
    <t>AZC1J1d3r1</t>
  </si>
  <si>
    <t>AZC1J1d45</t>
  </si>
  <si>
    <t>AZC1J1d4r1</t>
  </si>
  <si>
    <t>AZC1J1d5r1</t>
  </si>
  <si>
    <t>AZC1J1d5r2</t>
  </si>
  <si>
    <t>AZC1J1d60</t>
  </si>
  <si>
    <t>AZC1J1d71</t>
  </si>
  <si>
    <t>AZC1J1d7r1</t>
  </si>
  <si>
    <t>AZC1J1d81</t>
  </si>
  <si>
    <t>AZC1J1d9r1</t>
  </si>
  <si>
    <t>AZC1J2d0r1</t>
  </si>
  <si>
    <t>AZC1J2d0r2</t>
  </si>
  <si>
    <t>AZC1J2d12r1</t>
  </si>
  <si>
    <t>AZC1J2d1r1</t>
  </si>
  <si>
    <t>AZC1J2d1r2</t>
  </si>
  <si>
    <t>AZC1J2d20</t>
  </si>
  <si>
    <t>AZC1J2d28</t>
  </si>
  <si>
    <t>AZC1J2d2r1</t>
  </si>
  <si>
    <t>AZC1J2d35</t>
  </si>
  <si>
    <t>AZC1J2d3r1</t>
  </si>
  <si>
    <t>AZC1J2d45</t>
  </si>
  <si>
    <t>AZC1J2d4r1</t>
  </si>
  <si>
    <t>AZC1J2d5r1</t>
  </si>
  <si>
    <t>AZC1J2d5r2</t>
  </si>
  <si>
    <t>AZC1J2d60</t>
  </si>
  <si>
    <t>AZC1J2d71</t>
  </si>
  <si>
    <t>AZC1J2d7r1</t>
  </si>
  <si>
    <t>AZC1J2d81</t>
  </si>
  <si>
    <t>AZC1J2d9r1</t>
  </si>
  <si>
    <t>AZC1J3d0r1</t>
  </si>
  <si>
    <t>AZC1J3d0r2</t>
  </si>
  <si>
    <t>AZC1J3d12r1</t>
  </si>
  <si>
    <t>AZC1J3d1r1</t>
  </si>
  <si>
    <t>AZC1J3d1r2</t>
  </si>
  <si>
    <t>AZC1J3d20</t>
  </si>
  <si>
    <t>AZC1J3d28</t>
  </si>
  <si>
    <t>AZC1J3d2r1</t>
  </si>
  <si>
    <t>AZC1J3d35</t>
  </si>
  <si>
    <t>AZC1J3d3r1</t>
  </si>
  <si>
    <t>AZC1J3d45</t>
  </si>
  <si>
    <t>AZC1J3d4r1</t>
  </si>
  <si>
    <t>AZC1J3d5r1</t>
  </si>
  <si>
    <t>AZC1J3d5r2</t>
  </si>
  <si>
    <t>AZC1J3d60</t>
  </si>
  <si>
    <t>AZC1J3d71</t>
  </si>
  <si>
    <t>AZC1J3d7r1</t>
  </si>
  <si>
    <t>AZC1J3d81</t>
  </si>
  <si>
    <t>AZC1J3d9r1</t>
  </si>
  <si>
    <t>AZC1J4d0r1</t>
  </si>
  <si>
    <t>AZC1J4d0r2</t>
  </si>
  <si>
    <t>AZC1J4d12r1</t>
  </si>
  <si>
    <t>AZC1J4d1r1</t>
  </si>
  <si>
    <t>AZC1J4d1r2</t>
  </si>
  <si>
    <t>AZC1J4d20</t>
  </si>
  <si>
    <t>AZC1J4d28</t>
  </si>
  <si>
    <t>AZC1J4d2r1</t>
  </si>
  <si>
    <t>AZC1J4d35</t>
  </si>
  <si>
    <t>AZC1J4d3r1</t>
  </si>
  <si>
    <t>AZC1J4d45</t>
  </si>
  <si>
    <t>AZC1J4d4r1</t>
  </si>
  <si>
    <t>AZC1J4d5r1</t>
  </si>
  <si>
    <t>AZC1J4d5r2</t>
  </si>
  <si>
    <t>AZC1J4d60</t>
  </si>
  <si>
    <t>AZC1J4d71</t>
  </si>
  <si>
    <t>AZC1J4d7r1</t>
  </si>
  <si>
    <t>AZC1J4d81</t>
  </si>
  <si>
    <t>AZC1J4d9r1</t>
  </si>
  <si>
    <t>compC1FMT</t>
  </si>
  <si>
    <t>compC2FMT</t>
  </si>
  <si>
    <t>compC3FMT</t>
  </si>
  <si>
    <t>compC4FMT</t>
  </si>
  <si>
    <t>EDCEnvFMTSol</t>
  </si>
  <si>
    <t>EnvCiproDil1</t>
  </si>
  <si>
    <t>EnvCultDil1</t>
  </si>
  <si>
    <t>EnvCultDil2</t>
  </si>
  <si>
    <t>EnvCultDil3</t>
  </si>
  <si>
    <t>EnvCultDil4</t>
  </si>
  <si>
    <t>EnvCultDil5</t>
  </si>
  <si>
    <t>EnvCultInp</t>
  </si>
  <si>
    <t>EnvTriDil1</t>
  </si>
  <si>
    <t>EnvVancDil1</t>
  </si>
  <si>
    <t>FDC1FMTSOL</t>
  </si>
  <si>
    <t>FDC2FMTSOL</t>
  </si>
  <si>
    <t>FMTC10FMTSOL</t>
  </si>
  <si>
    <t>FMTC1FMTSOL</t>
  </si>
  <si>
    <t>FMTC8FMTSOL</t>
  </si>
  <si>
    <t>FMTC9FMTSOL</t>
  </si>
  <si>
    <t>FMTENVCec</t>
  </si>
  <si>
    <t>FMTENVCecCult</t>
  </si>
  <si>
    <t>FMTENVFec</t>
  </si>
  <si>
    <t>FMTENVFecCult</t>
  </si>
  <si>
    <t>FMTENVSI</t>
  </si>
  <si>
    <t>FMTENVSICult</t>
  </si>
  <si>
    <t>H1T4Fec</t>
  </si>
  <si>
    <t>JaxCultDil1</t>
  </si>
  <si>
    <t>JaxCultDil2</t>
  </si>
  <si>
    <t>JaxCultDil3</t>
  </si>
  <si>
    <t>JaxCultDil4</t>
  </si>
  <si>
    <t>JaxCultDil5</t>
  </si>
  <si>
    <t>JaxCultInp</t>
  </si>
  <si>
    <t>MixCultDil1</t>
  </si>
  <si>
    <t>MixCultDil2</t>
  </si>
  <si>
    <t>MixCultDil3</t>
  </si>
  <si>
    <t>MixCultDil4</t>
  </si>
  <si>
    <t>MixCultDil5</t>
  </si>
  <si>
    <t>MixCultInp</t>
  </si>
  <si>
    <t>DJC1</t>
  </si>
  <si>
    <t>DJC2</t>
  </si>
  <si>
    <t>DJC3</t>
  </si>
  <si>
    <t>fed with HFD-GrindA (Coarse oat)</t>
  </si>
  <si>
    <t>fed with HFD-GrindB (Fine oat)</t>
  </si>
  <si>
    <t>fed with with HFD-Ctrl</t>
  </si>
  <si>
    <t>rep-1</t>
  </si>
  <si>
    <t>rep-2</t>
  </si>
  <si>
    <t>EDC1</t>
  </si>
  <si>
    <t>EDC2</t>
  </si>
  <si>
    <t>EDC3</t>
  </si>
  <si>
    <t>EDC4</t>
  </si>
  <si>
    <t>EDC5</t>
  </si>
  <si>
    <t>EDC6</t>
  </si>
  <si>
    <t>regular diet</t>
  </si>
  <si>
    <t>regular diet, gavaged with Envigo feces at day-5</t>
  </si>
  <si>
    <t>feces sample from Envigo mice that EDC2, 4, 6 received at day-5</t>
  </si>
  <si>
    <t>diet switch to HF diet (TD.08840) at day-0</t>
  </si>
  <si>
    <t>diet switch to LF diet (TD.86489) at day-0</t>
  </si>
  <si>
    <t>diet switch to HF diet (TD.08840) at day-0, gavaged with Envigo feces at day-5</t>
  </si>
  <si>
    <t>diet switch to LF diet (TD.86489) at day-0, gavaged with Envigo feces at day-5</t>
  </si>
  <si>
    <t>FDC1</t>
  </si>
  <si>
    <t>FDC2</t>
  </si>
  <si>
    <t>FDC3</t>
  </si>
  <si>
    <t>FDC4</t>
  </si>
  <si>
    <t>FDC5</t>
  </si>
  <si>
    <t>FDC6</t>
  </si>
  <si>
    <t>FDC7</t>
  </si>
  <si>
    <t>FDC8</t>
  </si>
  <si>
    <t>x = 1, 2</t>
  </si>
  <si>
    <t>LF diet all the time</t>
  </si>
  <si>
    <t>HF diet from day-0 and switch to LF diet at day-2</t>
  </si>
  <si>
    <t>gavaged with FDC1 feces at day-0, LF diet all the time</t>
  </si>
  <si>
    <t>gavaged with FDC1 feces at day-0, HF diet from day-0 and switch to LF diet at day-2</t>
  </si>
  <si>
    <t>gavaged with FDC2 feces at day-0, LF diet all the time</t>
  </si>
  <si>
    <t>gavaged with FDC2 feces at day-0, HF diet from day-0 and switch to LF diet at day-2</t>
  </si>
  <si>
    <t>feces sample from FDC1 mice that FDC3, 4 received at day-0</t>
  </si>
  <si>
    <t>feces sample from FDC2 mice that FDC5, 6 received at day-0</t>
  </si>
  <si>
    <t>switch to LF diet at day-0</t>
  </si>
  <si>
    <t>switch to HF diet at day-0</t>
  </si>
  <si>
    <t>FMTC1</t>
  </si>
  <si>
    <t>FMTC2</t>
  </si>
  <si>
    <t>FMTC3</t>
  </si>
  <si>
    <t>FMTC4</t>
  </si>
  <si>
    <t>FMTC5</t>
  </si>
  <si>
    <t>FMTC6</t>
  </si>
  <si>
    <t>FMTC7</t>
  </si>
  <si>
    <t>FMTC8</t>
  </si>
  <si>
    <t>FMTC9</t>
  </si>
  <si>
    <t>FMTC10</t>
  </si>
  <si>
    <t>Jackson + Envigo</t>
  </si>
  <si>
    <t>J + E</t>
  </si>
  <si>
    <t>2 + 2</t>
  </si>
  <si>
    <t>2x J mice and 2x E mice were co-housed</t>
  </si>
  <si>
    <t>x = E1, E2, J3, J4</t>
  </si>
  <si>
    <t>feces sample from Envigo mice that FMTC1 received at day-0</t>
  </si>
  <si>
    <t>gavaged with fresh Envigo feces at day-0</t>
  </si>
  <si>
    <t>gavaged with frozen Envigo SI contents at day-0</t>
  </si>
  <si>
    <t>gavaged with EtOH-treated Envigo SI contents at day-0</t>
  </si>
  <si>
    <t>gavaged with cultured Envigo feces at day-0</t>
  </si>
  <si>
    <t>gavaged with cultured Envigo SI contents at day-0</t>
  </si>
  <si>
    <t>FMTC5Jxd0</t>
  </si>
  <si>
    <t>SI contents from Envigo mice that FMTC3, 4 received at day-0</t>
  </si>
  <si>
    <t>cultured feces sample from Envigo mice that FMTC5 received at day-0</t>
  </si>
  <si>
    <t>cultured SI contents from Envigo mice that FMTC6 received at day-0</t>
  </si>
  <si>
    <t>feces sample from Envigo mice that used to make feces culture</t>
  </si>
  <si>
    <t>cecum contents from Envigo mice</t>
  </si>
  <si>
    <t>cultured cecum contents from Envigo mice</t>
  </si>
  <si>
    <t>gavaged with human feces H1T4 at day-0</t>
  </si>
  <si>
    <r>
      <t xml:space="preserve">gavaged with </t>
    </r>
    <r>
      <rPr>
        <i/>
        <sz val="12"/>
        <color theme="1"/>
        <rFont val="Arial"/>
        <family val="2"/>
      </rPr>
      <t>Lactobacillus murinus</t>
    </r>
    <r>
      <rPr>
        <sz val="12"/>
        <color theme="1"/>
        <rFont val="Arial"/>
        <family val="2"/>
      </rPr>
      <t xml:space="preserve"> at day-0</t>
    </r>
  </si>
  <si>
    <r>
      <t xml:space="preserve">gavaged with </t>
    </r>
    <r>
      <rPr>
        <i/>
        <sz val="12"/>
        <color theme="1"/>
        <rFont val="Arial"/>
        <family val="2"/>
      </rPr>
      <t>Lactobacillus murinus</t>
    </r>
    <r>
      <rPr>
        <sz val="12"/>
        <color theme="1"/>
        <rFont val="Arial"/>
        <family val="2"/>
      </rPr>
      <t xml:space="preserve"> and Taconic feces at day-0</t>
    </r>
  </si>
  <si>
    <t>Lactobacillus murinus culture that FMTC8, 9 received at day-0</t>
  </si>
  <si>
    <t>mixture of Lactobacillus murinus culture and feces sample from Taconic mice that FMTC9 received at day-0</t>
  </si>
  <si>
    <t>feces sample from Taconic mice that FMTC10 received at day-0</t>
  </si>
  <si>
    <t>gavaged with Taconic feces at day-0</t>
  </si>
  <si>
    <t>feces sample from human H1T4 that FMTC7 received at day-0</t>
  </si>
  <si>
    <t>Envigo feces</t>
  </si>
  <si>
    <t>Jackson feces</t>
  </si>
  <si>
    <t>Envigo + Jackson feces</t>
  </si>
  <si>
    <t>Feces</t>
  </si>
  <si>
    <t>-</t>
  </si>
  <si>
    <t>Ciprofloxacin</t>
  </si>
  <si>
    <t>Vancomycin</t>
  </si>
  <si>
    <t>Trimethoprim</t>
  </si>
  <si>
    <t>Input dilution (1 is low input and 5 is high input)</t>
  </si>
  <si>
    <t>Input</t>
  </si>
  <si>
    <t>Note: this is in vitro feces culture experiment (result is contaminated by E. coli)</t>
  </si>
  <si>
    <t>Germ-free mice</t>
  </si>
  <si>
    <t>c1m1</t>
  </si>
  <si>
    <t>c1m2</t>
  </si>
  <si>
    <t>c1m3</t>
  </si>
  <si>
    <t>c3m1</t>
  </si>
  <si>
    <t>c3m2</t>
  </si>
  <si>
    <t>c3m3</t>
  </si>
  <si>
    <t>c5m1</t>
  </si>
  <si>
    <t>c5m2</t>
  </si>
  <si>
    <t>c5m3</t>
  </si>
  <si>
    <t>Receive H1 feces at day-0, sac at day-9 for MaP-seq</t>
  </si>
  <si>
    <t>Receive H3 feces at day-0, sac at day-9 for MaP-seq</t>
  </si>
  <si>
    <t>Receive H5 feces at day-0, sac at day-9 for MaP-seq</t>
  </si>
  <si>
    <t>Receive H1 feces at day-0, co-housed with c3m1 after day-9, sac at day-18 for MaP-seq</t>
  </si>
  <si>
    <t>Receive H1 feces at day-0, co-housed with c5m1 after day-9, sac at day-18 for MaP-seq</t>
  </si>
  <si>
    <t>Receive H3 feces at day-0, co-housed with c1m1 after day-9, sac at day-18 for MaP-seq</t>
  </si>
  <si>
    <t>Receive H3 feces at day-0, co-housed with c5m2 after day-9, sac at day-18 for MaP-seq</t>
  </si>
  <si>
    <t>Receive H5 feces at day-0, co-housed with c1m2 after day-9, sac at day-18 for MaP-seq</t>
  </si>
  <si>
    <t>Receive H5 feces at day-0, co-housed with c3m2 after day-9, sac at day-18 for MaP-seq</t>
  </si>
  <si>
    <t>compC1</t>
  </si>
  <si>
    <t>compC2</t>
  </si>
  <si>
    <t>compC3</t>
  </si>
  <si>
    <t>compC4</t>
  </si>
  <si>
    <t>gavaged with dense cultured Envigo feces at day-0</t>
  </si>
  <si>
    <t>gavaged with no-so-dense cultured Envigo feces at day-0</t>
  </si>
  <si>
    <t>gavaged with 2X Parabacteroides isolates (N5 &amp; L7)</t>
  </si>
  <si>
    <t>x = 1, 2, 3</t>
  </si>
  <si>
    <t>x = 1, 2, 3, 4 for day-0 and day-5; x = 1, 2, 3 for day-10 and day-15</t>
  </si>
  <si>
    <t>Note: compC4J4 dead at day-10</t>
  </si>
  <si>
    <t>feces sample from Envigo mice that compC1 received at day-0</t>
  </si>
  <si>
    <t>cultured Envigo feces that compC2 received at day-0</t>
  </si>
  <si>
    <t>cultured Envigo feces that compC3 received at day-0</t>
  </si>
  <si>
    <t>2x Parabacteroides isolates culture that compC4 received at day-0</t>
  </si>
  <si>
    <t>Note: this is rerun of in vitro feces culture experiment (preivou run was contaminated by E. coli)</t>
  </si>
  <si>
    <t>Input dilution (2 is low input and 6 is high input)</t>
  </si>
  <si>
    <t>S1</t>
  </si>
  <si>
    <t>S2</t>
  </si>
  <si>
    <t>S3</t>
  </si>
  <si>
    <t>S4</t>
  </si>
  <si>
    <t>consortia</t>
  </si>
  <si>
    <t>complex</t>
  </si>
  <si>
    <t>gavaged with H1 isolates P10wD3 P. goldenstei at day-1</t>
  </si>
  <si>
    <t>gavaged with H1 isolates P8wC1 B. vulgatus at day-1</t>
  </si>
  <si>
    <t>gavaged with H1 isolates P11wB8 B. fragilis at day-1</t>
  </si>
  <si>
    <t>gavaged with H1 isolates P11wA12 B. cellulosilyticus at day-1</t>
  </si>
  <si>
    <t>gavaged with mixture of above four H1 isolates at day-1</t>
  </si>
  <si>
    <t>gavaged with human feces H1T4 at day-1</t>
  </si>
  <si>
    <t>AZC</t>
  </si>
  <si>
    <t>CsyC</t>
  </si>
  <si>
    <t>45mg/kg Az at day-1</t>
  </si>
  <si>
    <t>35mg/kg Csy at day-1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</si>
</sst>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2"/>
      <color rgb="FF0AAC00"/>
      <name val="PT Mono"/>
      <family val="1"/>
      <charset val="204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sz val="12"/>
      <color theme="1"/>
      <name val="Arial"/>
      <family val="2"/>
    </font>
    <font>
      <sz val="12"/>
      <color rgb="FF000000"/>
      <name val="Calibri"/>
      <family val="2"/>
      <scheme val="minor"/>
    </font>
    <font>
      <sz val="12"/>
      <color rgb="FF000000"/>
      <name val="Arial"/>
      <family val="2"/>
    </font>
    <font>
      <i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/>
    <xf numFmtId="0" fontId="2" fillId="0" borderId="0" xfId="0" applyFont="1" applyFill="1" applyBorder="1"/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Border="1"/>
    <xf numFmtId="0" fontId="2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5" fillId="0" borderId="0" xfId="0" applyFont="1"/>
    <xf numFmtId="0" fontId="2" fillId="0" borderId="1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Border="1" applyAlignment="1">
      <alignment vertical="center"/>
    </xf>
    <xf numFmtId="0" fontId="5" fillId="0" borderId="0" xfId="0" applyFont="1" applyBorder="1"/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7" fillId="0" borderId="0" xfId="0" applyFont="1"/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iseq_AZ.list_1" connectionId="1" xr16:uid="{0327AF60-0D76-C14F-B7E4-74B7DE7EB880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iseq_AZ.list_1" connectionId="2" xr16:uid="{2BAC3A23-1676-AD4A-B58B-E67CC662285A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iseq_AZ.list_1" connectionId="3" xr16:uid="{6C385E14-C007-E344-ACB4-8ED87DABA028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03724-66E8-2941-85BD-028D3A85F0A2}">
  <dimension ref="A1:J104"/>
  <sheetViews>
    <sheetView workbookViewId="0">
      <selection activeCell="L72" sqref="L72"/>
    </sheetView>
  </sheetViews>
  <sheetFormatPr baseColWidth="10" defaultRowHeight="16" x14ac:dyDescent="0.2"/>
  <cols>
    <col min="1" max="1" width="12.33203125" style="2" customWidth="1"/>
    <col min="2" max="2" width="8.83203125" style="2" customWidth="1"/>
    <col min="3" max="3" width="15.1640625" style="2" customWidth="1"/>
    <col min="4" max="4" width="10.6640625" style="2" customWidth="1"/>
  </cols>
  <sheetData>
    <row r="1" spans="1:10" ht="28" customHeight="1" x14ac:dyDescent="0.2">
      <c r="A1" s="11" t="s">
        <v>155</v>
      </c>
      <c r="B1" s="11" t="s">
        <v>129</v>
      </c>
      <c r="C1" s="11" t="s">
        <v>122</v>
      </c>
      <c r="D1" s="11" t="s">
        <v>210</v>
      </c>
      <c r="F1" s="11" t="s">
        <v>116</v>
      </c>
      <c r="G1" s="13" t="s">
        <v>210</v>
      </c>
      <c r="H1" s="13"/>
      <c r="I1" s="13"/>
      <c r="J1" s="13"/>
    </row>
    <row r="2" spans="1:10" x14ac:dyDescent="0.2">
      <c r="A2" s="8" t="s">
        <v>0</v>
      </c>
      <c r="B2" s="8">
        <v>0</v>
      </c>
      <c r="C2" s="8" t="s">
        <v>125</v>
      </c>
      <c r="D2" s="12" t="s">
        <v>174</v>
      </c>
      <c r="F2" s="8" t="s">
        <v>158</v>
      </c>
      <c r="G2" s="8" t="s">
        <v>159</v>
      </c>
      <c r="H2" s="8" t="s">
        <v>160</v>
      </c>
      <c r="I2" s="8"/>
      <c r="J2" s="8"/>
    </row>
    <row r="3" spans="1:10" x14ac:dyDescent="0.2">
      <c r="A3" s="8" t="s">
        <v>1</v>
      </c>
      <c r="B3" s="8">
        <v>5</v>
      </c>
      <c r="C3" s="8" t="s">
        <v>125</v>
      </c>
      <c r="D3" s="12" t="s">
        <v>174</v>
      </c>
      <c r="F3" s="8" t="s">
        <v>161</v>
      </c>
      <c r="G3" s="8" t="s">
        <v>162</v>
      </c>
      <c r="H3" s="8" t="s">
        <v>163</v>
      </c>
      <c r="I3" s="8" t="s">
        <v>164</v>
      </c>
      <c r="J3" s="8" t="s">
        <v>165</v>
      </c>
    </row>
    <row r="4" spans="1:10" x14ac:dyDescent="0.2">
      <c r="A4" s="8" t="s">
        <v>2</v>
      </c>
      <c r="B4" s="8">
        <v>0</v>
      </c>
      <c r="C4" s="8" t="s">
        <v>125</v>
      </c>
      <c r="D4" s="12" t="s">
        <v>187</v>
      </c>
      <c r="F4" s="8" t="s">
        <v>166</v>
      </c>
      <c r="G4" s="8" t="s">
        <v>167</v>
      </c>
      <c r="H4" s="8" t="s">
        <v>168</v>
      </c>
      <c r="I4" s="8" t="s">
        <v>169</v>
      </c>
      <c r="J4" s="8" t="s">
        <v>170</v>
      </c>
    </row>
    <row r="5" spans="1:10" x14ac:dyDescent="0.2">
      <c r="A5" s="8" t="s">
        <v>3</v>
      </c>
      <c r="B5" s="8">
        <v>5</v>
      </c>
      <c r="C5" s="8" t="s">
        <v>125</v>
      </c>
      <c r="D5" s="12" t="s">
        <v>187</v>
      </c>
      <c r="F5" s="8" t="s">
        <v>171</v>
      </c>
      <c r="G5" s="8" t="s">
        <v>172</v>
      </c>
      <c r="H5" s="8" t="s">
        <v>173</v>
      </c>
      <c r="I5" s="8" t="s">
        <v>174</v>
      </c>
      <c r="J5" s="8" t="s">
        <v>175</v>
      </c>
    </row>
    <row r="6" spans="1:10" x14ac:dyDescent="0.2">
      <c r="A6" s="8" t="s">
        <v>4</v>
      </c>
      <c r="B6" s="8">
        <v>0</v>
      </c>
      <c r="C6" s="8" t="s">
        <v>125</v>
      </c>
      <c r="D6" s="12" t="s">
        <v>195</v>
      </c>
      <c r="F6" s="8" t="s">
        <v>176</v>
      </c>
      <c r="G6" s="8" t="s">
        <v>177</v>
      </c>
      <c r="H6" s="8" t="s">
        <v>178</v>
      </c>
      <c r="I6" s="8"/>
      <c r="J6" s="8"/>
    </row>
    <row r="7" spans="1:10" x14ac:dyDescent="0.2">
      <c r="A7" s="8" t="s">
        <v>5</v>
      </c>
      <c r="B7" s="8">
        <v>5</v>
      </c>
      <c r="C7" s="8" t="s">
        <v>125</v>
      </c>
      <c r="D7" s="12" t="s">
        <v>195</v>
      </c>
      <c r="F7" s="8" t="s">
        <v>179</v>
      </c>
      <c r="G7" s="8" t="s">
        <v>180</v>
      </c>
      <c r="H7" s="8" t="s">
        <v>181</v>
      </c>
      <c r="I7" s="8" t="s">
        <v>182</v>
      </c>
      <c r="J7" s="8" t="s">
        <v>183</v>
      </c>
    </row>
    <row r="8" spans="1:10" x14ac:dyDescent="0.2">
      <c r="A8" s="8" t="s">
        <v>6</v>
      </c>
      <c r="B8" s="8">
        <v>0</v>
      </c>
      <c r="C8" s="8" t="s">
        <v>125</v>
      </c>
      <c r="D8" s="12" t="s">
        <v>198</v>
      </c>
      <c r="F8" s="8" t="s">
        <v>184</v>
      </c>
      <c r="G8" s="8" t="s">
        <v>185</v>
      </c>
      <c r="H8" s="8" t="s">
        <v>186</v>
      </c>
      <c r="I8" s="8" t="s">
        <v>187</v>
      </c>
      <c r="J8" s="8" t="s">
        <v>188</v>
      </c>
    </row>
    <row r="9" spans="1:10" x14ac:dyDescent="0.2">
      <c r="A9" s="8" t="s">
        <v>7</v>
      </c>
      <c r="B9" s="8">
        <v>5</v>
      </c>
      <c r="C9" s="8" t="s">
        <v>125</v>
      </c>
      <c r="D9" s="12" t="s">
        <v>198</v>
      </c>
      <c r="F9" s="8" t="s">
        <v>189</v>
      </c>
      <c r="G9" s="8" t="s">
        <v>190</v>
      </c>
      <c r="H9" s="8" t="s">
        <v>191</v>
      </c>
      <c r="I9" s="8"/>
      <c r="J9" s="8"/>
    </row>
    <row r="10" spans="1:10" x14ac:dyDescent="0.2">
      <c r="A10" s="8" t="s">
        <v>8</v>
      </c>
      <c r="B10" s="8">
        <v>0</v>
      </c>
      <c r="C10" s="8" t="s">
        <v>125</v>
      </c>
      <c r="D10" s="12" t="s">
        <v>204</v>
      </c>
      <c r="F10" s="8" t="s">
        <v>192</v>
      </c>
      <c r="G10" s="8" t="s">
        <v>193</v>
      </c>
      <c r="H10" s="8" t="s">
        <v>194</v>
      </c>
      <c r="I10" s="8" t="s">
        <v>195</v>
      </c>
      <c r="J10" s="8" t="s">
        <v>196</v>
      </c>
    </row>
    <row r="11" spans="1:10" x14ac:dyDescent="0.2">
      <c r="A11" s="8" t="s">
        <v>9</v>
      </c>
      <c r="B11" s="8">
        <v>5</v>
      </c>
      <c r="C11" s="8" t="s">
        <v>125</v>
      </c>
      <c r="D11" s="12" t="s">
        <v>204</v>
      </c>
      <c r="F11" s="8" t="s">
        <v>197</v>
      </c>
      <c r="G11" s="8" t="s">
        <v>198</v>
      </c>
      <c r="H11" s="8" t="s">
        <v>199</v>
      </c>
      <c r="I11" s="8"/>
      <c r="J11" s="8"/>
    </row>
    <row r="12" spans="1:10" x14ac:dyDescent="0.2">
      <c r="A12" s="8" t="s">
        <v>10</v>
      </c>
      <c r="B12" s="8">
        <v>0</v>
      </c>
      <c r="C12" s="8" t="s">
        <v>125</v>
      </c>
      <c r="D12" s="12" t="s">
        <v>175</v>
      </c>
      <c r="F12" s="8" t="s">
        <v>200</v>
      </c>
      <c r="G12" s="8" t="s">
        <v>201</v>
      </c>
      <c r="H12" s="8" t="s">
        <v>202</v>
      </c>
      <c r="I12" s="8" t="s">
        <v>203</v>
      </c>
      <c r="J12" s="8" t="s">
        <v>204</v>
      </c>
    </row>
    <row r="13" spans="1:10" x14ac:dyDescent="0.2">
      <c r="A13" s="8" t="s">
        <v>11</v>
      </c>
      <c r="B13" s="8">
        <v>5</v>
      </c>
      <c r="C13" s="8" t="s">
        <v>125</v>
      </c>
      <c r="D13" s="12" t="s">
        <v>175</v>
      </c>
      <c r="F13" s="8" t="s">
        <v>205</v>
      </c>
      <c r="G13" s="8" t="s">
        <v>206</v>
      </c>
      <c r="H13" s="8" t="s">
        <v>207</v>
      </c>
      <c r="I13" s="8" t="s">
        <v>208</v>
      </c>
      <c r="J13" s="8" t="s">
        <v>209</v>
      </c>
    </row>
    <row r="14" spans="1:10" x14ac:dyDescent="0.2">
      <c r="A14" s="8" t="s">
        <v>12</v>
      </c>
      <c r="B14" s="8">
        <v>0</v>
      </c>
      <c r="C14" s="8" t="s">
        <v>125</v>
      </c>
      <c r="D14" s="12" t="s">
        <v>188</v>
      </c>
    </row>
    <row r="15" spans="1:10" x14ac:dyDescent="0.2">
      <c r="A15" s="8" t="s">
        <v>13</v>
      </c>
      <c r="B15" s="8">
        <v>5</v>
      </c>
      <c r="C15" s="8" t="s">
        <v>125</v>
      </c>
      <c r="D15" s="12" t="s">
        <v>188</v>
      </c>
      <c r="F15" s="9" t="s">
        <v>211</v>
      </c>
    </row>
    <row r="16" spans="1:10" x14ac:dyDescent="0.2">
      <c r="A16" s="8" t="s">
        <v>14</v>
      </c>
      <c r="B16" s="8">
        <v>0</v>
      </c>
      <c r="C16" s="8" t="s">
        <v>125</v>
      </c>
      <c r="D16" s="12" t="s">
        <v>196</v>
      </c>
    </row>
    <row r="17" spans="1:4" x14ac:dyDescent="0.2">
      <c r="A17" s="8" t="s">
        <v>15</v>
      </c>
      <c r="B17" s="8">
        <v>5</v>
      </c>
      <c r="C17" s="8" t="s">
        <v>125</v>
      </c>
      <c r="D17" s="12" t="s">
        <v>196</v>
      </c>
    </row>
    <row r="18" spans="1:4" x14ac:dyDescent="0.2">
      <c r="A18" s="8" t="s">
        <v>16</v>
      </c>
      <c r="B18" s="8">
        <v>0</v>
      </c>
      <c r="C18" s="8" t="s">
        <v>125</v>
      </c>
      <c r="D18" s="12" t="s">
        <v>199</v>
      </c>
    </row>
    <row r="19" spans="1:4" x14ac:dyDescent="0.2">
      <c r="A19" s="8" t="s">
        <v>17</v>
      </c>
      <c r="B19" s="8">
        <v>5</v>
      </c>
      <c r="C19" s="8" t="s">
        <v>125</v>
      </c>
      <c r="D19" s="12" t="s">
        <v>199</v>
      </c>
    </row>
    <row r="20" spans="1:4" x14ac:dyDescent="0.2">
      <c r="A20" s="8" t="s">
        <v>18</v>
      </c>
      <c r="B20" s="8">
        <v>0</v>
      </c>
      <c r="C20" s="8" t="s">
        <v>125</v>
      </c>
      <c r="D20" s="12" t="s">
        <v>209</v>
      </c>
    </row>
    <row r="21" spans="1:4" x14ac:dyDescent="0.2">
      <c r="A21" s="8" t="s">
        <v>19</v>
      </c>
      <c r="B21" s="8">
        <v>5</v>
      </c>
      <c r="C21" s="8" t="s">
        <v>125</v>
      </c>
      <c r="D21" s="12" t="s">
        <v>209</v>
      </c>
    </row>
    <row r="22" spans="1:4" x14ac:dyDescent="0.2">
      <c r="A22" s="8" t="s">
        <v>20</v>
      </c>
      <c r="B22" s="8">
        <v>0</v>
      </c>
      <c r="C22" s="8" t="s">
        <v>124</v>
      </c>
      <c r="D22" s="12" t="s">
        <v>169</v>
      </c>
    </row>
    <row r="23" spans="1:4" x14ac:dyDescent="0.2">
      <c r="A23" s="8" t="s">
        <v>21</v>
      </c>
      <c r="B23" s="8">
        <v>5</v>
      </c>
      <c r="C23" s="8" t="s">
        <v>124</v>
      </c>
      <c r="D23" s="12" t="s">
        <v>169</v>
      </c>
    </row>
    <row r="24" spans="1:4" x14ac:dyDescent="0.2">
      <c r="A24" s="8" t="s">
        <v>22</v>
      </c>
      <c r="B24" s="8">
        <v>0</v>
      </c>
      <c r="C24" s="8" t="s">
        <v>124</v>
      </c>
      <c r="D24" s="12" t="s">
        <v>182</v>
      </c>
    </row>
    <row r="25" spans="1:4" x14ac:dyDescent="0.2">
      <c r="A25" s="8" t="s">
        <v>23</v>
      </c>
      <c r="B25" s="8">
        <v>5</v>
      </c>
      <c r="C25" s="8" t="s">
        <v>124</v>
      </c>
      <c r="D25" s="12" t="s">
        <v>182</v>
      </c>
    </row>
    <row r="26" spans="1:4" x14ac:dyDescent="0.2">
      <c r="A26" s="8" t="s">
        <v>24</v>
      </c>
      <c r="B26" s="8">
        <v>0</v>
      </c>
      <c r="C26" s="8" t="s">
        <v>124</v>
      </c>
      <c r="D26" s="12" t="s">
        <v>190</v>
      </c>
    </row>
    <row r="27" spans="1:4" x14ac:dyDescent="0.2">
      <c r="A27" s="8" t="s">
        <v>25</v>
      </c>
      <c r="B27" s="8">
        <v>5</v>
      </c>
      <c r="C27" s="8" t="s">
        <v>124</v>
      </c>
      <c r="D27" s="12" t="s">
        <v>190</v>
      </c>
    </row>
    <row r="28" spans="1:4" x14ac:dyDescent="0.2">
      <c r="A28" s="8" t="s">
        <v>26</v>
      </c>
      <c r="B28" s="8">
        <v>0</v>
      </c>
      <c r="C28" s="8" t="s">
        <v>124</v>
      </c>
      <c r="D28" s="12" t="s">
        <v>193</v>
      </c>
    </row>
    <row r="29" spans="1:4" x14ac:dyDescent="0.2">
      <c r="A29" s="8" t="s">
        <v>27</v>
      </c>
      <c r="B29" s="8">
        <v>5</v>
      </c>
      <c r="C29" s="8" t="s">
        <v>124</v>
      </c>
      <c r="D29" s="12" t="s">
        <v>193</v>
      </c>
    </row>
    <row r="30" spans="1:4" x14ac:dyDescent="0.2">
      <c r="A30" s="8" t="s">
        <v>28</v>
      </c>
      <c r="B30" s="8">
        <v>0</v>
      </c>
      <c r="C30" s="8" t="s">
        <v>124</v>
      </c>
      <c r="D30" s="12" t="s">
        <v>203</v>
      </c>
    </row>
    <row r="31" spans="1:4" x14ac:dyDescent="0.2">
      <c r="A31" s="8" t="s">
        <v>29</v>
      </c>
      <c r="B31" s="8">
        <v>5</v>
      </c>
      <c r="C31" s="8" t="s">
        <v>124</v>
      </c>
      <c r="D31" s="12" t="s">
        <v>203</v>
      </c>
    </row>
    <row r="32" spans="1:4" x14ac:dyDescent="0.2">
      <c r="A32" s="8" t="s">
        <v>30</v>
      </c>
      <c r="B32" s="8">
        <v>0</v>
      </c>
      <c r="C32" s="8" t="s">
        <v>124</v>
      </c>
      <c r="D32" s="12" t="s">
        <v>170</v>
      </c>
    </row>
    <row r="33" spans="1:4" x14ac:dyDescent="0.2">
      <c r="A33" s="8" t="s">
        <v>31</v>
      </c>
      <c r="B33" s="8">
        <v>5</v>
      </c>
      <c r="C33" s="8" t="s">
        <v>124</v>
      </c>
      <c r="D33" s="12" t="s">
        <v>170</v>
      </c>
    </row>
    <row r="34" spans="1:4" x14ac:dyDescent="0.2">
      <c r="A34" s="8" t="s">
        <v>32</v>
      </c>
      <c r="B34" s="8">
        <v>0</v>
      </c>
      <c r="C34" s="8" t="s">
        <v>124</v>
      </c>
      <c r="D34" s="12" t="s">
        <v>183</v>
      </c>
    </row>
    <row r="35" spans="1:4" x14ac:dyDescent="0.2">
      <c r="A35" s="8" t="s">
        <v>33</v>
      </c>
      <c r="B35" s="8">
        <v>5</v>
      </c>
      <c r="C35" s="8" t="s">
        <v>124</v>
      </c>
      <c r="D35" s="12" t="s">
        <v>183</v>
      </c>
    </row>
    <row r="36" spans="1:4" x14ac:dyDescent="0.2">
      <c r="A36" s="8" t="s">
        <v>34</v>
      </c>
      <c r="B36" s="8">
        <v>0</v>
      </c>
      <c r="C36" s="8" t="s">
        <v>124</v>
      </c>
      <c r="D36" s="12" t="s">
        <v>191</v>
      </c>
    </row>
    <row r="37" spans="1:4" x14ac:dyDescent="0.2">
      <c r="A37" s="8" t="s">
        <v>35</v>
      </c>
      <c r="B37" s="8">
        <v>5</v>
      </c>
      <c r="C37" s="8" t="s">
        <v>124</v>
      </c>
      <c r="D37" s="12" t="s">
        <v>191</v>
      </c>
    </row>
    <row r="38" spans="1:4" x14ac:dyDescent="0.2">
      <c r="A38" s="8" t="s">
        <v>36</v>
      </c>
      <c r="B38" s="8">
        <v>0</v>
      </c>
      <c r="C38" s="8" t="s">
        <v>124</v>
      </c>
      <c r="D38" s="12" t="s">
        <v>194</v>
      </c>
    </row>
    <row r="39" spans="1:4" x14ac:dyDescent="0.2">
      <c r="A39" s="8" t="s">
        <v>37</v>
      </c>
      <c r="B39" s="8">
        <v>5</v>
      </c>
      <c r="C39" s="8" t="s">
        <v>124</v>
      </c>
      <c r="D39" s="12" t="s">
        <v>194</v>
      </c>
    </row>
    <row r="40" spans="1:4" x14ac:dyDescent="0.2">
      <c r="A40" s="8" t="s">
        <v>38</v>
      </c>
      <c r="B40" s="8">
        <v>0</v>
      </c>
      <c r="C40" s="8" t="s">
        <v>124</v>
      </c>
      <c r="D40" s="12" t="s">
        <v>208</v>
      </c>
    </row>
    <row r="41" spans="1:4" x14ac:dyDescent="0.2">
      <c r="A41" s="8" t="s">
        <v>39</v>
      </c>
      <c r="B41" s="8">
        <v>5</v>
      </c>
      <c r="C41" s="8" t="s">
        <v>124</v>
      </c>
      <c r="D41" s="12" t="s">
        <v>208</v>
      </c>
    </row>
    <row r="42" spans="1:4" x14ac:dyDescent="0.2">
      <c r="A42" s="8" t="s">
        <v>40</v>
      </c>
      <c r="B42" s="8">
        <v>0</v>
      </c>
      <c r="C42" s="14" t="s">
        <v>108</v>
      </c>
      <c r="D42" s="12" t="s">
        <v>164</v>
      </c>
    </row>
    <row r="43" spans="1:4" x14ac:dyDescent="0.2">
      <c r="A43" s="8" t="s">
        <v>41</v>
      </c>
      <c r="B43" s="8">
        <v>5</v>
      </c>
      <c r="C43" s="14" t="s">
        <v>108</v>
      </c>
      <c r="D43" s="12" t="s">
        <v>164</v>
      </c>
    </row>
    <row r="44" spans="1:4" x14ac:dyDescent="0.2">
      <c r="A44" s="8" t="s">
        <v>42</v>
      </c>
      <c r="B44" s="8">
        <v>0</v>
      </c>
      <c r="C44" s="14" t="s">
        <v>108</v>
      </c>
      <c r="D44" s="12" t="s">
        <v>177</v>
      </c>
    </row>
    <row r="45" spans="1:4" x14ac:dyDescent="0.2">
      <c r="A45" s="8" t="s">
        <v>43</v>
      </c>
      <c r="B45" s="8">
        <v>5</v>
      </c>
      <c r="C45" s="14" t="s">
        <v>108</v>
      </c>
      <c r="D45" s="12" t="s">
        <v>177</v>
      </c>
    </row>
    <row r="46" spans="1:4" x14ac:dyDescent="0.2">
      <c r="A46" s="8" t="s">
        <v>44</v>
      </c>
      <c r="B46" s="8">
        <v>0</v>
      </c>
      <c r="C46" s="14" t="s">
        <v>108</v>
      </c>
      <c r="D46" s="12" t="s">
        <v>180</v>
      </c>
    </row>
    <row r="47" spans="1:4" x14ac:dyDescent="0.2">
      <c r="A47" s="8" t="s">
        <v>45</v>
      </c>
      <c r="B47" s="8">
        <v>5</v>
      </c>
      <c r="C47" s="14" t="s">
        <v>108</v>
      </c>
      <c r="D47" s="12" t="s">
        <v>180</v>
      </c>
    </row>
    <row r="48" spans="1:4" x14ac:dyDescent="0.2">
      <c r="A48" s="8" t="s">
        <v>46</v>
      </c>
      <c r="B48" s="8">
        <v>0</v>
      </c>
      <c r="C48" s="14" t="s">
        <v>108</v>
      </c>
      <c r="D48" s="12" t="s">
        <v>185</v>
      </c>
    </row>
    <row r="49" spans="1:4" x14ac:dyDescent="0.2">
      <c r="A49" s="8" t="s">
        <v>47</v>
      </c>
      <c r="B49" s="8">
        <v>5</v>
      </c>
      <c r="C49" s="14" t="s">
        <v>108</v>
      </c>
      <c r="D49" s="12" t="s">
        <v>185</v>
      </c>
    </row>
    <row r="50" spans="1:4" x14ac:dyDescent="0.2">
      <c r="A50" s="8" t="s">
        <v>48</v>
      </c>
      <c r="B50" s="8">
        <v>0</v>
      </c>
      <c r="C50" s="14" t="s">
        <v>108</v>
      </c>
      <c r="D50" s="12" t="s">
        <v>202</v>
      </c>
    </row>
    <row r="51" spans="1:4" x14ac:dyDescent="0.2">
      <c r="A51" s="8" t="s">
        <v>49</v>
      </c>
      <c r="B51" s="8">
        <v>5</v>
      </c>
      <c r="C51" s="14" t="s">
        <v>108</v>
      </c>
      <c r="D51" s="12" t="s">
        <v>202</v>
      </c>
    </row>
    <row r="52" spans="1:4" x14ac:dyDescent="0.2">
      <c r="A52" s="8" t="s">
        <v>50</v>
      </c>
      <c r="B52" s="8">
        <v>0</v>
      </c>
      <c r="C52" s="14" t="s">
        <v>108</v>
      </c>
      <c r="D52" s="12" t="s">
        <v>165</v>
      </c>
    </row>
    <row r="53" spans="1:4" x14ac:dyDescent="0.2">
      <c r="A53" s="8" t="s">
        <v>51</v>
      </c>
      <c r="B53" s="8">
        <v>5</v>
      </c>
      <c r="C53" s="14" t="s">
        <v>108</v>
      </c>
      <c r="D53" s="12" t="s">
        <v>165</v>
      </c>
    </row>
    <row r="54" spans="1:4" x14ac:dyDescent="0.2">
      <c r="A54" s="8" t="s">
        <v>52</v>
      </c>
      <c r="B54" s="8">
        <v>0</v>
      </c>
      <c r="C54" s="14" t="s">
        <v>108</v>
      </c>
      <c r="D54" s="12" t="s">
        <v>178</v>
      </c>
    </row>
    <row r="55" spans="1:4" x14ac:dyDescent="0.2">
      <c r="A55" s="8" t="s">
        <v>53</v>
      </c>
      <c r="B55" s="8">
        <v>5</v>
      </c>
      <c r="C55" s="14" t="s">
        <v>108</v>
      </c>
      <c r="D55" s="12" t="s">
        <v>178</v>
      </c>
    </row>
    <row r="56" spans="1:4" x14ac:dyDescent="0.2">
      <c r="A56" s="8" t="s">
        <v>54</v>
      </c>
      <c r="B56" s="8">
        <v>0</v>
      </c>
      <c r="C56" s="14" t="s">
        <v>108</v>
      </c>
      <c r="D56" s="12" t="s">
        <v>181</v>
      </c>
    </row>
    <row r="57" spans="1:4" x14ac:dyDescent="0.2">
      <c r="A57" s="8" t="s">
        <v>55</v>
      </c>
      <c r="B57" s="8">
        <v>5</v>
      </c>
      <c r="C57" s="14" t="s">
        <v>108</v>
      </c>
      <c r="D57" s="12" t="s">
        <v>181</v>
      </c>
    </row>
    <row r="58" spans="1:4" x14ac:dyDescent="0.2">
      <c r="A58" s="8" t="s">
        <v>56</v>
      </c>
      <c r="B58" s="8">
        <v>0</v>
      </c>
      <c r="C58" s="14" t="s">
        <v>108</v>
      </c>
      <c r="D58" s="12" t="s">
        <v>186</v>
      </c>
    </row>
    <row r="59" spans="1:4" x14ac:dyDescent="0.2">
      <c r="A59" s="8" t="s">
        <v>57</v>
      </c>
      <c r="B59" s="8">
        <v>5</v>
      </c>
      <c r="C59" s="14" t="s">
        <v>108</v>
      </c>
      <c r="D59" s="12" t="s">
        <v>186</v>
      </c>
    </row>
    <row r="60" spans="1:4" x14ac:dyDescent="0.2">
      <c r="A60" s="8" t="s">
        <v>58</v>
      </c>
      <c r="B60" s="8">
        <v>0</v>
      </c>
      <c r="C60" s="14" t="s">
        <v>108</v>
      </c>
      <c r="D60" s="12" t="s">
        <v>207</v>
      </c>
    </row>
    <row r="61" spans="1:4" x14ac:dyDescent="0.2">
      <c r="A61" s="8" t="s">
        <v>59</v>
      </c>
      <c r="B61" s="8">
        <v>5</v>
      </c>
      <c r="C61" s="14" t="s">
        <v>108</v>
      </c>
      <c r="D61" s="12" t="s">
        <v>207</v>
      </c>
    </row>
    <row r="62" spans="1:4" x14ac:dyDescent="0.2">
      <c r="A62" s="8" t="s">
        <v>60</v>
      </c>
      <c r="B62" s="8">
        <v>0</v>
      </c>
      <c r="C62" s="14" t="s">
        <v>123</v>
      </c>
      <c r="D62" s="12" t="s">
        <v>159</v>
      </c>
    </row>
    <row r="63" spans="1:4" x14ac:dyDescent="0.2">
      <c r="A63" s="8" t="s">
        <v>61</v>
      </c>
      <c r="B63" s="8">
        <v>5</v>
      </c>
      <c r="C63" s="14" t="s">
        <v>123</v>
      </c>
      <c r="D63" s="12" t="s">
        <v>159</v>
      </c>
    </row>
    <row r="64" spans="1:4" x14ac:dyDescent="0.2">
      <c r="A64" s="8" t="s">
        <v>62</v>
      </c>
      <c r="B64" s="8">
        <v>0</v>
      </c>
      <c r="C64" s="14" t="s">
        <v>123</v>
      </c>
      <c r="D64" s="12" t="s">
        <v>162</v>
      </c>
    </row>
    <row r="65" spans="1:4" x14ac:dyDescent="0.2">
      <c r="A65" s="8" t="s">
        <v>63</v>
      </c>
      <c r="B65" s="8">
        <v>5</v>
      </c>
      <c r="C65" s="14" t="s">
        <v>123</v>
      </c>
      <c r="D65" s="12" t="s">
        <v>162</v>
      </c>
    </row>
    <row r="66" spans="1:4" x14ac:dyDescent="0.2">
      <c r="A66" s="8" t="s">
        <v>64</v>
      </c>
      <c r="B66" s="8">
        <v>0</v>
      </c>
      <c r="C66" s="14" t="s">
        <v>123</v>
      </c>
      <c r="D66" s="12" t="s">
        <v>167</v>
      </c>
    </row>
    <row r="67" spans="1:4" x14ac:dyDescent="0.2">
      <c r="A67" s="8" t="s">
        <v>65</v>
      </c>
      <c r="B67" s="8">
        <v>5</v>
      </c>
      <c r="C67" s="14" t="s">
        <v>123</v>
      </c>
      <c r="D67" s="12" t="s">
        <v>167</v>
      </c>
    </row>
    <row r="68" spans="1:4" x14ac:dyDescent="0.2">
      <c r="A68" s="8" t="s">
        <v>66</v>
      </c>
      <c r="B68" s="8">
        <v>0</v>
      </c>
      <c r="C68" s="14" t="s">
        <v>123</v>
      </c>
      <c r="D68" s="12" t="s">
        <v>172</v>
      </c>
    </row>
    <row r="69" spans="1:4" x14ac:dyDescent="0.2">
      <c r="A69" s="8" t="s">
        <v>67</v>
      </c>
      <c r="B69" s="8">
        <v>5</v>
      </c>
      <c r="C69" s="14" t="s">
        <v>123</v>
      </c>
      <c r="D69" s="12" t="s">
        <v>172</v>
      </c>
    </row>
    <row r="70" spans="1:4" x14ac:dyDescent="0.2">
      <c r="A70" s="8" t="s">
        <v>68</v>
      </c>
      <c r="B70" s="8">
        <v>0</v>
      </c>
      <c r="C70" s="14" t="s">
        <v>123</v>
      </c>
      <c r="D70" s="12" t="s">
        <v>201</v>
      </c>
    </row>
    <row r="71" spans="1:4" x14ac:dyDescent="0.2">
      <c r="A71" s="8" t="s">
        <v>69</v>
      </c>
      <c r="B71" s="8">
        <v>5</v>
      </c>
      <c r="C71" s="14" t="s">
        <v>123</v>
      </c>
      <c r="D71" s="12" t="s">
        <v>201</v>
      </c>
    </row>
    <row r="72" spans="1:4" x14ac:dyDescent="0.2">
      <c r="A72" s="8" t="s">
        <v>70</v>
      </c>
      <c r="B72" s="8">
        <v>0</v>
      </c>
      <c r="C72" s="14" t="s">
        <v>123</v>
      </c>
      <c r="D72" s="12" t="s">
        <v>160</v>
      </c>
    </row>
    <row r="73" spans="1:4" x14ac:dyDescent="0.2">
      <c r="A73" s="8" t="s">
        <v>71</v>
      </c>
      <c r="B73" s="8">
        <v>5</v>
      </c>
      <c r="C73" s="14" t="s">
        <v>123</v>
      </c>
      <c r="D73" s="12" t="s">
        <v>160</v>
      </c>
    </row>
    <row r="74" spans="1:4" x14ac:dyDescent="0.2">
      <c r="A74" s="8" t="s">
        <v>72</v>
      </c>
      <c r="B74" s="8">
        <v>0</v>
      </c>
      <c r="C74" s="14" t="s">
        <v>123</v>
      </c>
      <c r="D74" s="12" t="s">
        <v>163</v>
      </c>
    </row>
    <row r="75" spans="1:4" x14ac:dyDescent="0.2">
      <c r="A75" s="8" t="s">
        <v>73</v>
      </c>
      <c r="B75" s="8">
        <v>5</v>
      </c>
      <c r="C75" s="14" t="s">
        <v>123</v>
      </c>
      <c r="D75" s="12" t="s">
        <v>163</v>
      </c>
    </row>
    <row r="76" spans="1:4" x14ac:dyDescent="0.2">
      <c r="A76" s="8" t="s">
        <v>74</v>
      </c>
      <c r="B76" s="8">
        <v>0</v>
      </c>
      <c r="C76" s="14" t="s">
        <v>123</v>
      </c>
      <c r="D76" s="12" t="s">
        <v>168</v>
      </c>
    </row>
    <row r="77" spans="1:4" x14ac:dyDescent="0.2">
      <c r="A77" s="8" t="s">
        <v>75</v>
      </c>
      <c r="B77" s="8">
        <v>5</v>
      </c>
      <c r="C77" s="14" t="s">
        <v>123</v>
      </c>
      <c r="D77" s="12" t="s">
        <v>168</v>
      </c>
    </row>
    <row r="78" spans="1:4" x14ac:dyDescent="0.2">
      <c r="A78" s="8" t="s">
        <v>76</v>
      </c>
      <c r="B78" s="8">
        <v>0</v>
      </c>
      <c r="C78" s="14" t="s">
        <v>123</v>
      </c>
      <c r="D78" s="12" t="s">
        <v>173</v>
      </c>
    </row>
    <row r="79" spans="1:4" x14ac:dyDescent="0.2">
      <c r="A79" s="8" t="s">
        <v>77</v>
      </c>
      <c r="B79" s="8">
        <v>5</v>
      </c>
      <c r="C79" s="14" t="s">
        <v>123</v>
      </c>
      <c r="D79" s="12" t="s">
        <v>173</v>
      </c>
    </row>
    <row r="80" spans="1:4" x14ac:dyDescent="0.2">
      <c r="A80" s="8" t="s">
        <v>78</v>
      </c>
      <c r="B80" s="8">
        <v>0</v>
      </c>
      <c r="C80" s="14" t="s">
        <v>123</v>
      </c>
      <c r="D80" s="12" t="s">
        <v>206</v>
      </c>
    </row>
    <row r="81" spans="1:4" x14ac:dyDescent="0.2">
      <c r="A81" s="8" t="s">
        <v>79</v>
      </c>
      <c r="B81" s="8">
        <v>5</v>
      </c>
      <c r="C81" s="14" t="s">
        <v>123</v>
      </c>
      <c r="D81" s="12" t="s">
        <v>206</v>
      </c>
    </row>
    <row r="82" spans="1:4" x14ac:dyDescent="0.2">
      <c r="D82" s="7"/>
    </row>
    <row r="83" spans="1:4" x14ac:dyDescent="0.2">
      <c r="D83" s="7"/>
    </row>
    <row r="84" spans="1:4" x14ac:dyDescent="0.2">
      <c r="D84" s="7"/>
    </row>
    <row r="85" spans="1:4" x14ac:dyDescent="0.2">
      <c r="D85" s="7"/>
    </row>
    <row r="86" spans="1:4" x14ac:dyDescent="0.2">
      <c r="D86" s="7"/>
    </row>
    <row r="87" spans="1:4" x14ac:dyDescent="0.2">
      <c r="D87" s="7"/>
    </row>
    <row r="88" spans="1:4" x14ac:dyDescent="0.2">
      <c r="D88" s="7"/>
    </row>
    <row r="89" spans="1:4" x14ac:dyDescent="0.2">
      <c r="D89" s="7"/>
    </row>
    <row r="90" spans="1:4" x14ac:dyDescent="0.2">
      <c r="D90" s="7"/>
    </row>
    <row r="91" spans="1:4" x14ac:dyDescent="0.2">
      <c r="D91" s="7"/>
    </row>
    <row r="92" spans="1:4" x14ac:dyDescent="0.2">
      <c r="D92" s="7"/>
    </row>
    <row r="93" spans="1:4" x14ac:dyDescent="0.2">
      <c r="D93" s="7"/>
    </row>
    <row r="94" spans="1:4" x14ac:dyDescent="0.2">
      <c r="D94" s="7"/>
    </row>
    <row r="95" spans="1:4" x14ac:dyDescent="0.2">
      <c r="D95" s="7"/>
    </row>
    <row r="96" spans="1:4" x14ac:dyDescent="0.2">
      <c r="D96" s="7"/>
    </row>
    <row r="97" spans="4:4" x14ac:dyDescent="0.2">
      <c r="D97" s="7"/>
    </row>
    <row r="98" spans="4:4" x14ac:dyDescent="0.2">
      <c r="D98" s="7"/>
    </row>
    <row r="99" spans="4:4" x14ac:dyDescent="0.2">
      <c r="D99" s="7"/>
    </row>
    <row r="100" spans="4:4" x14ac:dyDescent="0.2">
      <c r="D100" s="7"/>
    </row>
    <row r="101" spans="4:4" x14ac:dyDescent="0.2">
      <c r="D101" s="7"/>
    </row>
    <row r="102" spans="4:4" x14ac:dyDescent="0.2">
      <c r="D102" s="7"/>
    </row>
    <row r="103" spans="4:4" x14ac:dyDescent="0.2">
      <c r="D103" s="7"/>
    </row>
    <row r="104" spans="4:4" x14ac:dyDescent="0.2">
      <c r="D104" s="7"/>
    </row>
  </sheetData>
  <mergeCells count="1">
    <mergeCell ref="G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C2D43-06F6-1443-AB2C-566F4C8C2941}">
  <dimension ref="A1:AJ99"/>
  <sheetViews>
    <sheetView zoomScale="85" workbookViewId="0">
      <selection activeCell="E11" sqref="E11"/>
    </sheetView>
  </sheetViews>
  <sheetFormatPr baseColWidth="10" defaultRowHeight="16" x14ac:dyDescent="0.2"/>
  <cols>
    <col min="1" max="1" width="14.5" bestFit="1" customWidth="1"/>
    <col min="2" max="2" width="13.6640625" bestFit="1" customWidth="1"/>
    <col min="3" max="3" width="9.83203125" customWidth="1"/>
    <col min="5" max="5" width="32.1640625" customWidth="1"/>
    <col min="6" max="6" width="15.33203125" customWidth="1"/>
    <col min="7" max="11" width="15.33203125" style="6" customWidth="1"/>
    <col min="12" max="35" width="15.33203125" customWidth="1"/>
    <col min="36" max="36" width="14.33203125" customWidth="1"/>
  </cols>
  <sheetData>
    <row r="1" spans="1:36" ht="28" customHeight="1" x14ac:dyDescent="0.2">
      <c r="A1" s="15" t="s">
        <v>116</v>
      </c>
      <c r="B1" s="15" t="s">
        <v>122</v>
      </c>
      <c r="C1" s="15" t="s">
        <v>131</v>
      </c>
      <c r="D1" s="15" t="s">
        <v>126</v>
      </c>
      <c r="E1" s="15" t="s">
        <v>149</v>
      </c>
      <c r="F1" s="15" t="s">
        <v>129</v>
      </c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</row>
    <row r="2" spans="1:36" s="4" customFormat="1" ht="31" customHeight="1" x14ac:dyDescent="0.2">
      <c r="A2" s="15"/>
      <c r="B2" s="15"/>
      <c r="C2" s="15"/>
      <c r="D2" s="15"/>
      <c r="E2" s="15"/>
      <c r="F2" s="16" t="s">
        <v>130</v>
      </c>
      <c r="G2" s="16">
        <v>0</v>
      </c>
      <c r="H2" s="16">
        <v>1</v>
      </c>
      <c r="I2" s="16">
        <v>2</v>
      </c>
      <c r="J2" s="16">
        <v>3</v>
      </c>
      <c r="K2" s="16">
        <v>4</v>
      </c>
      <c r="L2" s="16">
        <v>5</v>
      </c>
      <c r="M2" s="16">
        <v>6</v>
      </c>
      <c r="N2" s="16">
        <v>7</v>
      </c>
      <c r="O2" s="16">
        <v>8</v>
      </c>
      <c r="P2" s="16">
        <v>9</v>
      </c>
      <c r="Q2" s="16">
        <v>10</v>
      </c>
      <c r="R2" s="16">
        <v>11</v>
      </c>
      <c r="S2" s="16">
        <v>12</v>
      </c>
      <c r="T2" s="16">
        <v>13</v>
      </c>
      <c r="U2" s="16">
        <v>14</v>
      </c>
      <c r="V2" s="16">
        <v>15</v>
      </c>
      <c r="W2" s="16">
        <v>16</v>
      </c>
      <c r="X2" s="16">
        <v>17</v>
      </c>
      <c r="Y2" s="16">
        <v>18</v>
      </c>
      <c r="Z2" s="16">
        <v>19</v>
      </c>
      <c r="AA2" s="16">
        <v>20</v>
      </c>
      <c r="AB2" s="16">
        <v>21</v>
      </c>
      <c r="AC2" s="16">
        <v>28</v>
      </c>
      <c r="AD2" s="16">
        <v>35</v>
      </c>
      <c r="AE2" s="16">
        <v>42</v>
      </c>
      <c r="AF2" s="16">
        <v>49</v>
      </c>
      <c r="AG2" s="16">
        <v>63</v>
      </c>
      <c r="AH2" s="16">
        <v>77</v>
      </c>
      <c r="AI2" s="16">
        <v>91</v>
      </c>
    </row>
    <row r="3" spans="1:36" s="5" customFormat="1" ht="25" customHeight="1" x14ac:dyDescent="0.2">
      <c r="A3" s="14" t="s">
        <v>80</v>
      </c>
      <c r="B3" s="14" t="s">
        <v>108</v>
      </c>
      <c r="C3" s="12" t="s">
        <v>86</v>
      </c>
      <c r="D3" s="12">
        <v>4</v>
      </c>
      <c r="E3" s="14" t="s">
        <v>127</v>
      </c>
      <c r="F3" s="14" t="str">
        <f>"AZC2Jxd"&amp;F2</f>
        <v>AZC2Jxdm5</v>
      </c>
      <c r="G3" s="14" t="str">
        <f t="shared" ref="G3:AI3" si="0">"AZC2Jxd"&amp;G2</f>
        <v>AZC2Jxd0</v>
      </c>
      <c r="H3" s="14" t="str">
        <f t="shared" si="0"/>
        <v>AZC2Jxd1</v>
      </c>
      <c r="I3" s="14" t="str">
        <f t="shared" si="0"/>
        <v>AZC2Jxd2</v>
      </c>
      <c r="J3" s="14" t="str">
        <f t="shared" si="0"/>
        <v>AZC2Jxd3</v>
      </c>
      <c r="K3" s="14" t="str">
        <f t="shared" si="0"/>
        <v>AZC2Jxd4</v>
      </c>
      <c r="L3" s="14" t="str">
        <f t="shared" si="0"/>
        <v>AZC2Jxd5</v>
      </c>
      <c r="M3" s="14" t="str">
        <f t="shared" si="0"/>
        <v>AZC2Jxd6</v>
      </c>
      <c r="N3" s="14" t="str">
        <f t="shared" si="0"/>
        <v>AZC2Jxd7</v>
      </c>
      <c r="O3" s="14" t="str">
        <f t="shared" si="0"/>
        <v>AZC2Jxd8</v>
      </c>
      <c r="P3" s="14" t="str">
        <f t="shared" si="0"/>
        <v>AZC2Jxd9</v>
      </c>
      <c r="Q3" s="14" t="str">
        <f t="shared" si="0"/>
        <v>AZC2Jxd10</v>
      </c>
      <c r="R3" s="14" t="str">
        <f t="shared" si="0"/>
        <v>AZC2Jxd11</v>
      </c>
      <c r="S3" s="14" t="str">
        <f t="shared" si="0"/>
        <v>AZC2Jxd12</v>
      </c>
      <c r="T3" s="14" t="str">
        <f t="shared" si="0"/>
        <v>AZC2Jxd13</v>
      </c>
      <c r="U3" s="14" t="str">
        <f t="shared" si="0"/>
        <v>AZC2Jxd14</v>
      </c>
      <c r="V3" s="14" t="str">
        <f t="shared" si="0"/>
        <v>AZC2Jxd15</v>
      </c>
      <c r="W3" s="14" t="str">
        <f t="shared" si="0"/>
        <v>AZC2Jxd16</v>
      </c>
      <c r="X3" s="14" t="str">
        <f t="shared" si="0"/>
        <v>AZC2Jxd17</v>
      </c>
      <c r="Y3" s="14" t="str">
        <f t="shared" si="0"/>
        <v>AZC2Jxd18</v>
      </c>
      <c r="Z3" s="14" t="str">
        <f t="shared" si="0"/>
        <v>AZC2Jxd19</v>
      </c>
      <c r="AA3" s="14" t="str">
        <f t="shared" si="0"/>
        <v>AZC2Jxd20</v>
      </c>
      <c r="AB3" s="14" t="str">
        <f t="shared" si="0"/>
        <v>AZC2Jxd21</v>
      </c>
      <c r="AC3" s="14" t="str">
        <f t="shared" si="0"/>
        <v>AZC2Jxd28</v>
      </c>
      <c r="AD3" s="14" t="str">
        <f t="shared" si="0"/>
        <v>AZC2Jxd35</v>
      </c>
      <c r="AE3" s="14" t="str">
        <f t="shared" si="0"/>
        <v>AZC2Jxd42</v>
      </c>
      <c r="AF3" s="14" t="str">
        <f t="shared" si="0"/>
        <v>AZC2Jxd49</v>
      </c>
      <c r="AG3" s="14" t="str">
        <f t="shared" si="0"/>
        <v>AZC2Jxd63</v>
      </c>
      <c r="AH3" s="14" t="str">
        <f t="shared" si="0"/>
        <v>AZC2Jxd77</v>
      </c>
      <c r="AI3" s="14" t="str">
        <f t="shared" si="0"/>
        <v>AZC2Jxd91</v>
      </c>
      <c r="AJ3" s="10" t="s">
        <v>135</v>
      </c>
    </row>
    <row r="4" spans="1:36" s="5" customFormat="1" ht="25" customHeight="1" x14ac:dyDescent="0.2">
      <c r="A4" s="14" t="s">
        <v>88</v>
      </c>
      <c r="B4" s="14" t="s">
        <v>108</v>
      </c>
      <c r="C4" s="12" t="s">
        <v>86</v>
      </c>
      <c r="D4" s="12">
        <v>4</v>
      </c>
      <c r="E4" s="14" t="s">
        <v>147</v>
      </c>
      <c r="F4" s="14" t="str">
        <f>"AZC3Jxd"&amp;F2</f>
        <v>AZC3Jxdm5</v>
      </c>
      <c r="G4" s="14" t="str">
        <f t="shared" ref="G4:AI4" si="1">"AZC3Jxd"&amp;G2</f>
        <v>AZC3Jxd0</v>
      </c>
      <c r="H4" s="14" t="str">
        <f t="shared" si="1"/>
        <v>AZC3Jxd1</v>
      </c>
      <c r="I4" s="14" t="str">
        <f t="shared" si="1"/>
        <v>AZC3Jxd2</v>
      </c>
      <c r="J4" s="14" t="str">
        <f t="shared" si="1"/>
        <v>AZC3Jxd3</v>
      </c>
      <c r="K4" s="14" t="str">
        <f t="shared" si="1"/>
        <v>AZC3Jxd4</v>
      </c>
      <c r="L4" s="14" t="str">
        <f t="shared" si="1"/>
        <v>AZC3Jxd5</v>
      </c>
      <c r="M4" s="14" t="str">
        <f t="shared" si="1"/>
        <v>AZC3Jxd6</v>
      </c>
      <c r="N4" s="14" t="str">
        <f t="shared" si="1"/>
        <v>AZC3Jxd7</v>
      </c>
      <c r="O4" s="14" t="str">
        <f t="shared" si="1"/>
        <v>AZC3Jxd8</v>
      </c>
      <c r="P4" s="14" t="str">
        <f t="shared" si="1"/>
        <v>AZC3Jxd9</v>
      </c>
      <c r="Q4" s="14" t="str">
        <f t="shared" si="1"/>
        <v>AZC3Jxd10</v>
      </c>
      <c r="R4" s="14" t="str">
        <f t="shared" si="1"/>
        <v>AZC3Jxd11</v>
      </c>
      <c r="S4" s="14" t="str">
        <f t="shared" si="1"/>
        <v>AZC3Jxd12</v>
      </c>
      <c r="T4" s="14" t="str">
        <f t="shared" si="1"/>
        <v>AZC3Jxd13</v>
      </c>
      <c r="U4" s="14" t="str">
        <f t="shared" si="1"/>
        <v>AZC3Jxd14</v>
      </c>
      <c r="V4" s="14" t="str">
        <f t="shared" si="1"/>
        <v>AZC3Jxd15</v>
      </c>
      <c r="W4" s="14" t="str">
        <f t="shared" si="1"/>
        <v>AZC3Jxd16</v>
      </c>
      <c r="X4" s="14" t="str">
        <f t="shared" si="1"/>
        <v>AZC3Jxd17</v>
      </c>
      <c r="Y4" s="14" t="str">
        <f t="shared" si="1"/>
        <v>AZC3Jxd18</v>
      </c>
      <c r="Z4" s="14" t="str">
        <f t="shared" si="1"/>
        <v>AZC3Jxd19</v>
      </c>
      <c r="AA4" s="14" t="str">
        <f t="shared" si="1"/>
        <v>AZC3Jxd20</v>
      </c>
      <c r="AB4" s="14" t="str">
        <f t="shared" si="1"/>
        <v>AZC3Jxd21</v>
      </c>
      <c r="AC4" s="14" t="str">
        <f t="shared" si="1"/>
        <v>AZC3Jxd28</v>
      </c>
      <c r="AD4" s="14" t="str">
        <f t="shared" si="1"/>
        <v>AZC3Jxd35</v>
      </c>
      <c r="AE4" s="14" t="str">
        <f t="shared" si="1"/>
        <v>AZC3Jxd42</v>
      </c>
      <c r="AF4" s="14" t="str">
        <f t="shared" si="1"/>
        <v>AZC3Jxd49</v>
      </c>
      <c r="AG4" s="14" t="str">
        <f t="shared" si="1"/>
        <v>AZC3Jxd63</v>
      </c>
      <c r="AH4" s="14" t="str">
        <f t="shared" si="1"/>
        <v>AZC3Jxd77</v>
      </c>
      <c r="AI4" s="14" t="str">
        <f t="shared" si="1"/>
        <v>AZC3Jxd91</v>
      </c>
      <c r="AJ4" s="10"/>
    </row>
    <row r="5" spans="1:36" s="5" customFormat="1" ht="25" customHeight="1" x14ac:dyDescent="0.2">
      <c r="A5" s="14" t="s">
        <v>109</v>
      </c>
      <c r="B5" s="14" t="s">
        <v>123</v>
      </c>
      <c r="C5" s="12" t="s">
        <v>132</v>
      </c>
      <c r="D5" s="12">
        <v>4</v>
      </c>
      <c r="E5" s="14" t="s">
        <v>127</v>
      </c>
      <c r="F5" s="14" t="str">
        <f>"AZC4Txd"&amp;F2</f>
        <v>AZC4Txdm5</v>
      </c>
      <c r="G5" s="14" t="str">
        <f t="shared" ref="G5:S5" si="2">"AZC4Txd"&amp;G2</f>
        <v>AZC4Txd0</v>
      </c>
      <c r="H5" s="14" t="str">
        <f t="shared" si="2"/>
        <v>AZC4Txd1</v>
      </c>
      <c r="I5" s="14" t="str">
        <f t="shared" si="2"/>
        <v>AZC4Txd2</v>
      </c>
      <c r="J5" s="14" t="str">
        <f t="shared" si="2"/>
        <v>AZC4Txd3</v>
      </c>
      <c r="K5" s="14" t="str">
        <f t="shared" si="2"/>
        <v>AZC4Txd4</v>
      </c>
      <c r="L5" s="14" t="str">
        <f t="shared" si="2"/>
        <v>AZC4Txd5</v>
      </c>
      <c r="M5" s="14" t="str">
        <f t="shared" si="2"/>
        <v>AZC4Txd6</v>
      </c>
      <c r="N5" s="14" t="str">
        <f t="shared" si="2"/>
        <v>AZC4Txd7</v>
      </c>
      <c r="O5" s="14" t="str">
        <f t="shared" si="2"/>
        <v>AZC4Txd8</v>
      </c>
      <c r="P5" s="14" t="str">
        <f t="shared" si="2"/>
        <v>AZC4Txd9</v>
      </c>
      <c r="Q5" s="14" t="str">
        <f t="shared" si="2"/>
        <v>AZC4Txd10</v>
      </c>
      <c r="R5" s="14" t="str">
        <f t="shared" si="2"/>
        <v>AZC4Txd11</v>
      </c>
      <c r="S5" s="14" t="str">
        <f t="shared" si="2"/>
        <v>AZC4Txd12</v>
      </c>
      <c r="T5" s="14" t="str">
        <f t="shared" ref="T5:AF5" si="3">"AZC4Txd"&amp;T2</f>
        <v>AZC4Txd13</v>
      </c>
      <c r="U5" s="14" t="str">
        <f t="shared" si="3"/>
        <v>AZC4Txd14</v>
      </c>
      <c r="V5" s="14" t="str">
        <f t="shared" si="3"/>
        <v>AZC4Txd15</v>
      </c>
      <c r="W5" s="14" t="str">
        <f t="shared" si="3"/>
        <v>AZC4Txd16</v>
      </c>
      <c r="X5" s="14" t="str">
        <f t="shared" si="3"/>
        <v>AZC4Txd17</v>
      </c>
      <c r="Y5" s="14" t="str">
        <f t="shared" si="3"/>
        <v>AZC4Txd18</v>
      </c>
      <c r="Z5" s="14" t="str">
        <f t="shared" si="3"/>
        <v>AZC4Txd19</v>
      </c>
      <c r="AA5" s="14" t="str">
        <f t="shared" si="3"/>
        <v>AZC4Txd20</v>
      </c>
      <c r="AB5" s="14" t="str">
        <f t="shared" si="3"/>
        <v>AZC4Txd21</v>
      </c>
      <c r="AC5" s="14" t="str">
        <f t="shared" si="3"/>
        <v>AZC4Txd28</v>
      </c>
      <c r="AD5" s="14" t="str">
        <f t="shared" si="3"/>
        <v>AZC4Txd35</v>
      </c>
      <c r="AE5" s="14" t="str">
        <f t="shared" si="3"/>
        <v>AZC4Txd42</v>
      </c>
      <c r="AF5" s="14" t="str">
        <f t="shared" si="3"/>
        <v>AZC4Txd49</v>
      </c>
      <c r="AG5" s="14" t="str">
        <f>"AZC4Txd"&amp;AG2</f>
        <v>AZC4Txd63</v>
      </c>
      <c r="AH5" s="14" t="str">
        <f t="shared" ref="AH5:AI5" si="4">"AZC4Txd"&amp;AH2</f>
        <v>AZC4Txd77</v>
      </c>
      <c r="AI5" s="14" t="str">
        <f t="shared" si="4"/>
        <v>AZC4Txd91</v>
      </c>
      <c r="AJ5" s="10"/>
    </row>
    <row r="6" spans="1:36" s="5" customFormat="1" ht="25" customHeight="1" x14ac:dyDescent="0.2">
      <c r="A6" s="14" t="s">
        <v>110</v>
      </c>
      <c r="B6" s="14" t="s">
        <v>123</v>
      </c>
      <c r="C6" s="12" t="s">
        <v>132</v>
      </c>
      <c r="D6" s="12">
        <v>4</v>
      </c>
      <c r="E6" s="14" t="s">
        <v>147</v>
      </c>
      <c r="F6" s="14" t="str">
        <f>"AZC5Txd"&amp;F2</f>
        <v>AZC5Txdm5</v>
      </c>
      <c r="G6" s="14" t="str">
        <f t="shared" ref="G6:S6" si="5">"AZC5Txd"&amp;G2</f>
        <v>AZC5Txd0</v>
      </c>
      <c r="H6" s="14" t="str">
        <f t="shared" si="5"/>
        <v>AZC5Txd1</v>
      </c>
      <c r="I6" s="14" t="str">
        <f t="shared" si="5"/>
        <v>AZC5Txd2</v>
      </c>
      <c r="J6" s="14" t="str">
        <f t="shared" si="5"/>
        <v>AZC5Txd3</v>
      </c>
      <c r="K6" s="14" t="str">
        <f t="shared" si="5"/>
        <v>AZC5Txd4</v>
      </c>
      <c r="L6" s="14" t="str">
        <f t="shared" si="5"/>
        <v>AZC5Txd5</v>
      </c>
      <c r="M6" s="14" t="str">
        <f t="shared" si="5"/>
        <v>AZC5Txd6</v>
      </c>
      <c r="N6" s="14" t="str">
        <f t="shared" si="5"/>
        <v>AZC5Txd7</v>
      </c>
      <c r="O6" s="14" t="str">
        <f t="shared" si="5"/>
        <v>AZC5Txd8</v>
      </c>
      <c r="P6" s="14" t="str">
        <f t="shared" si="5"/>
        <v>AZC5Txd9</v>
      </c>
      <c r="Q6" s="14" t="str">
        <f t="shared" si="5"/>
        <v>AZC5Txd10</v>
      </c>
      <c r="R6" s="14" t="str">
        <f t="shared" si="5"/>
        <v>AZC5Txd11</v>
      </c>
      <c r="S6" s="14" t="str">
        <f t="shared" si="5"/>
        <v>AZC5Txd12</v>
      </c>
      <c r="T6" s="14" t="str">
        <f t="shared" ref="T6:AF6" si="6">"AZC5Txd"&amp;T2</f>
        <v>AZC5Txd13</v>
      </c>
      <c r="U6" s="14" t="str">
        <f t="shared" si="6"/>
        <v>AZC5Txd14</v>
      </c>
      <c r="V6" s="14" t="str">
        <f t="shared" si="6"/>
        <v>AZC5Txd15</v>
      </c>
      <c r="W6" s="14" t="str">
        <f t="shared" si="6"/>
        <v>AZC5Txd16</v>
      </c>
      <c r="X6" s="14" t="str">
        <f t="shared" si="6"/>
        <v>AZC5Txd17</v>
      </c>
      <c r="Y6" s="14" t="str">
        <f t="shared" si="6"/>
        <v>AZC5Txd18</v>
      </c>
      <c r="Z6" s="14" t="str">
        <f t="shared" si="6"/>
        <v>AZC5Txd19</v>
      </c>
      <c r="AA6" s="14" t="str">
        <f t="shared" si="6"/>
        <v>AZC5Txd20</v>
      </c>
      <c r="AB6" s="14" t="str">
        <f t="shared" si="6"/>
        <v>AZC5Txd21</v>
      </c>
      <c r="AC6" s="14" t="str">
        <f t="shared" si="6"/>
        <v>AZC5Txd28</v>
      </c>
      <c r="AD6" s="14" t="str">
        <f t="shared" si="6"/>
        <v>AZC5Txd35</v>
      </c>
      <c r="AE6" s="14" t="str">
        <f t="shared" si="6"/>
        <v>AZC5Txd42</v>
      </c>
      <c r="AF6" s="14" t="str">
        <f t="shared" si="6"/>
        <v>AZC5Txd49</v>
      </c>
      <c r="AG6" s="14" t="str">
        <f>"AZC5Txd"&amp;AG2</f>
        <v>AZC5Txd63</v>
      </c>
      <c r="AH6" s="14" t="str">
        <f t="shared" ref="AH6:AI6" si="7">"AZC5Txd"&amp;AH2</f>
        <v>AZC5Txd77</v>
      </c>
      <c r="AI6" s="14" t="str">
        <f t="shared" si="7"/>
        <v>AZC5Txd91</v>
      </c>
      <c r="AJ6" s="10"/>
    </row>
    <row r="7" spans="1:36" s="5" customFormat="1" ht="25" customHeight="1" x14ac:dyDescent="0.2">
      <c r="A7" s="14" t="s">
        <v>111</v>
      </c>
      <c r="B7" s="14" t="s">
        <v>124</v>
      </c>
      <c r="C7" s="12" t="s">
        <v>133</v>
      </c>
      <c r="D7" s="12">
        <v>4</v>
      </c>
      <c r="E7" s="14" t="s">
        <v>127</v>
      </c>
      <c r="F7" s="14" t="str">
        <f>"AZC6Exd"&amp;F2</f>
        <v>AZC6Exdm5</v>
      </c>
      <c r="G7" s="14" t="str">
        <f t="shared" ref="G7:S7" si="8">"AZC6Exd"&amp;G2</f>
        <v>AZC6Exd0</v>
      </c>
      <c r="H7" s="14" t="str">
        <f t="shared" si="8"/>
        <v>AZC6Exd1</v>
      </c>
      <c r="I7" s="14" t="str">
        <f t="shared" si="8"/>
        <v>AZC6Exd2</v>
      </c>
      <c r="J7" s="14" t="str">
        <f t="shared" si="8"/>
        <v>AZC6Exd3</v>
      </c>
      <c r="K7" s="14" t="str">
        <f t="shared" si="8"/>
        <v>AZC6Exd4</v>
      </c>
      <c r="L7" s="14" t="str">
        <f t="shared" si="8"/>
        <v>AZC6Exd5</v>
      </c>
      <c r="M7" s="14" t="str">
        <f t="shared" si="8"/>
        <v>AZC6Exd6</v>
      </c>
      <c r="N7" s="14" t="str">
        <f t="shared" si="8"/>
        <v>AZC6Exd7</v>
      </c>
      <c r="O7" s="14" t="str">
        <f t="shared" si="8"/>
        <v>AZC6Exd8</v>
      </c>
      <c r="P7" s="14" t="str">
        <f t="shared" si="8"/>
        <v>AZC6Exd9</v>
      </c>
      <c r="Q7" s="14" t="str">
        <f t="shared" si="8"/>
        <v>AZC6Exd10</v>
      </c>
      <c r="R7" s="14" t="str">
        <f t="shared" si="8"/>
        <v>AZC6Exd11</v>
      </c>
      <c r="S7" s="14" t="str">
        <f t="shared" si="8"/>
        <v>AZC6Exd12</v>
      </c>
      <c r="T7" s="14" t="str">
        <f t="shared" ref="T7:AF7" si="9">"AZC6Exd"&amp;T2</f>
        <v>AZC6Exd13</v>
      </c>
      <c r="U7" s="14" t="str">
        <f t="shared" si="9"/>
        <v>AZC6Exd14</v>
      </c>
      <c r="V7" s="14" t="str">
        <f t="shared" si="9"/>
        <v>AZC6Exd15</v>
      </c>
      <c r="W7" s="14" t="str">
        <f t="shared" si="9"/>
        <v>AZC6Exd16</v>
      </c>
      <c r="X7" s="14" t="str">
        <f t="shared" si="9"/>
        <v>AZC6Exd17</v>
      </c>
      <c r="Y7" s="14" t="str">
        <f t="shared" si="9"/>
        <v>AZC6Exd18</v>
      </c>
      <c r="Z7" s="14" t="str">
        <f t="shared" si="9"/>
        <v>AZC6Exd19</v>
      </c>
      <c r="AA7" s="14" t="str">
        <f t="shared" si="9"/>
        <v>AZC6Exd20</v>
      </c>
      <c r="AB7" s="14" t="str">
        <f t="shared" si="9"/>
        <v>AZC6Exd21</v>
      </c>
      <c r="AC7" s="14" t="str">
        <f t="shared" si="9"/>
        <v>AZC6Exd28</v>
      </c>
      <c r="AD7" s="14" t="str">
        <f t="shared" si="9"/>
        <v>AZC6Exd35</v>
      </c>
      <c r="AE7" s="14" t="str">
        <f t="shared" si="9"/>
        <v>AZC6Exd42</v>
      </c>
      <c r="AF7" s="14" t="str">
        <f t="shared" si="9"/>
        <v>AZC6Exd49</v>
      </c>
      <c r="AG7" s="14" t="str">
        <f>"AZC6Exd"&amp;AG2</f>
        <v>AZC6Exd63</v>
      </c>
      <c r="AH7" s="14" t="str">
        <f t="shared" ref="AH7:AI7" si="10">"AZC6Exd"&amp;AH2</f>
        <v>AZC6Exd77</v>
      </c>
      <c r="AI7" s="14" t="str">
        <f t="shared" si="10"/>
        <v>AZC6Exd91</v>
      </c>
      <c r="AJ7" s="10"/>
    </row>
    <row r="8" spans="1:36" s="5" customFormat="1" ht="25" customHeight="1" x14ac:dyDescent="0.2">
      <c r="A8" s="14" t="s">
        <v>112</v>
      </c>
      <c r="B8" s="14" t="s">
        <v>124</v>
      </c>
      <c r="C8" s="12" t="s">
        <v>133</v>
      </c>
      <c r="D8" s="12">
        <v>4</v>
      </c>
      <c r="E8" s="14" t="s">
        <v>147</v>
      </c>
      <c r="F8" s="14" t="str">
        <f>"AZC7Exd"&amp;F2</f>
        <v>AZC7Exdm5</v>
      </c>
      <c r="G8" s="14" t="str">
        <f t="shared" ref="G8:S8" si="11">"AZC7Exd"&amp;G2</f>
        <v>AZC7Exd0</v>
      </c>
      <c r="H8" s="14" t="str">
        <f t="shared" si="11"/>
        <v>AZC7Exd1</v>
      </c>
      <c r="I8" s="14" t="str">
        <f t="shared" si="11"/>
        <v>AZC7Exd2</v>
      </c>
      <c r="J8" s="14" t="str">
        <f t="shared" si="11"/>
        <v>AZC7Exd3</v>
      </c>
      <c r="K8" s="14" t="str">
        <f t="shared" si="11"/>
        <v>AZC7Exd4</v>
      </c>
      <c r="L8" s="14" t="str">
        <f t="shared" si="11"/>
        <v>AZC7Exd5</v>
      </c>
      <c r="M8" s="14" t="str">
        <f t="shared" si="11"/>
        <v>AZC7Exd6</v>
      </c>
      <c r="N8" s="14" t="str">
        <f t="shared" si="11"/>
        <v>AZC7Exd7</v>
      </c>
      <c r="O8" s="14" t="str">
        <f t="shared" si="11"/>
        <v>AZC7Exd8</v>
      </c>
      <c r="P8" s="14" t="str">
        <f t="shared" si="11"/>
        <v>AZC7Exd9</v>
      </c>
      <c r="Q8" s="14" t="str">
        <f t="shared" si="11"/>
        <v>AZC7Exd10</v>
      </c>
      <c r="R8" s="14" t="str">
        <f t="shared" si="11"/>
        <v>AZC7Exd11</v>
      </c>
      <c r="S8" s="14" t="str">
        <f t="shared" si="11"/>
        <v>AZC7Exd12</v>
      </c>
      <c r="T8" s="14" t="str">
        <f t="shared" ref="T8:AF8" si="12">"AZC7Exd"&amp;T2</f>
        <v>AZC7Exd13</v>
      </c>
      <c r="U8" s="14" t="str">
        <f t="shared" si="12"/>
        <v>AZC7Exd14</v>
      </c>
      <c r="V8" s="14" t="str">
        <f t="shared" si="12"/>
        <v>AZC7Exd15</v>
      </c>
      <c r="W8" s="14" t="str">
        <f t="shared" si="12"/>
        <v>AZC7Exd16</v>
      </c>
      <c r="X8" s="14" t="str">
        <f t="shared" si="12"/>
        <v>AZC7Exd17</v>
      </c>
      <c r="Y8" s="14" t="str">
        <f t="shared" si="12"/>
        <v>AZC7Exd18</v>
      </c>
      <c r="Z8" s="14" t="str">
        <f t="shared" si="12"/>
        <v>AZC7Exd19</v>
      </c>
      <c r="AA8" s="14" t="str">
        <f t="shared" si="12"/>
        <v>AZC7Exd20</v>
      </c>
      <c r="AB8" s="14" t="str">
        <f t="shared" si="12"/>
        <v>AZC7Exd21</v>
      </c>
      <c r="AC8" s="14" t="str">
        <f t="shared" si="12"/>
        <v>AZC7Exd28</v>
      </c>
      <c r="AD8" s="14" t="str">
        <f t="shared" si="12"/>
        <v>AZC7Exd35</v>
      </c>
      <c r="AE8" s="14" t="str">
        <f t="shared" si="12"/>
        <v>AZC7Exd42</v>
      </c>
      <c r="AF8" s="14" t="str">
        <f t="shared" si="12"/>
        <v>AZC7Exd49</v>
      </c>
      <c r="AG8" s="14" t="str">
        <f>"AZC7Exd"&amp;AG2</f>
        <v>AZC7Exd63</v>
      </c>
      <c r="AH8" s="14" t="str">
        <f t="shared" ref="AH8:AI8" si="13">"AZC7Exd"&amp;AH2</f>
        <v>AZC7Exd77</v>
      </c>
      <c r="AI8" s="14" t="str">
        <f t="shared" si="13"/>
        <v>AZC7Exd91</v>
      </c>
      <c r="AJ8" s="10"/>
    </row>
    <row r="9" spans="1:36" s="5" customFormat="1" ht="25" customHeight="1" x14ac:dyDescent="0.2">
      <c r="A9" s="14" t="s">
        <v>113</v>
      </c>
      <c r="B9" s="14" t="s">
        <v>125</v>
      </c>
      <c r="C9" s="12" t="s">
        <v>134</v>
      </c>
      <c r="D9" s="12">
        <v>4</v>
      </c>
      <c r="E9" s="14" t="s">
        <v>127</v>
      </c>
      <c r="F9" s="14" t="str">
        <f>"AZC8Cxd"&amp;F2</f>
        <v>AZC8Cxdm5</v>
      </c>
      <c r="G9" s="14" t="str">
        <f t="shared" ref="G9:S9" si="14">"AZC8Cxd"&amp;G2</f>
        <v>AZC8Cxd0</v>
      </c>
      <c r="H9" s="14" t="str">
        <f t="shared" si="14"/>
        <v>AZC8Cxd1</v>
      </c>
      <c r="I9" s="14" t="str">
        <f t="shared" si="14"/>
        <v>AZC8Cxd2</v>
      </c>
      <c r="J9" s="14" t="str">
        <f t="shared" si="14"/>
        <v>AZC8Cxd3</v>
      </c>
      <c r="K9" s="14" t="str">
        <f t="shared" si="14"/>
        <v>AZC8Cxd4</v>
      </c>
      <c r="L9" s="14" t="str">
        <f t="shared" si="14"/>
        <v>AZC8Cxd5</v>
      </c>
      <c r="M9" s="14" t="str">
        <f t="shared" si="14"/>
        <v>AZC8Cxd6</v>
      </c>
      <c r="N9" s="14" t="str">
        <f t="shared" si="14"/>
        <v>AZC8Cxd7</v>
      </c>
      <c r="O9" s="14" t="str">
        <f t="shared" si="14"/>
        <v>AZC8Cxd8</v>
      </c>
      <c r="P9" s="14" t="str">
        <f t="shared" si="14"/>
        <v>AZC8Cxd9</v>
      </c>
      <c r="Q9" s="14" t="str">
        <f t="shared" si="14"/>
        <v>AZC8Cxd10</v>
      </c>
      <c r="R9" s="14" t="str">
        <f t="shared" si="14"/>
        <v>AZC8Cxd11</v>
      </c>
      <c r="S9" s="14" t="str">
        <f t="shared" si="14"/>
        <v>AZC8Cxd12</v>
      </c>
      <c r="T9" s="14" t="str">
        <f t="shared" ref="T9:AF9" si="15">"AZC8Cxd"&amp;T2</f>
        <v>AZC8Cxd13</v>
      </c>
      <c r="U9" s="14" t="str">
        <f t="shared" si="15"/>
        <v>AZC8Cxd14</v>
      </c>
      <c r="V9" s="14" t="str">
        <f t="shared" si="15"/>
        <v>AZC8Cxd15</v>
      </c>
      <c r="W9" s="14" t="str">
        <f t="shared" si="15"/>
        <v>AZC8Cxd16</v>
      </c>
      <c r="X9" s="14" t="str">
        <f t="shared" si="15"/>
        <v>AZC8Cxd17</v>
      </c>
      <c r="Y9" s="14" t="str">
        <f t="shared" si="15"/>
        <v>AZC8Cxd18</v>
      </c>
      <c r="Z9" s="14" t="str">
        <f t="shared" si="15"/>
        <v>AZC8Cxd19</v>
      </c>
      <c r="AA9" s="14" t="str">
        <f t="shared" si="15"/>
        <v>AZC8Cxd20</v>
      </c>
      <c r="AB9" s="14" t="str">
        <f t="shared" si="15"/>
        <v>AZC8Cxd21</v>
      </c>
      <c r="AC9" s="14" t="str">
        <f t="shared" si="15"/>
        <v>AZC8Cxd28</v>
      </c>
      <c r="AD9" s="14" t="str">
        <f t="shared" si="15"/>
        <v>AZC8Cxd35</v>
      </c>
      <c r="AE9" s="14" t="str">
        <f t="shared" si="15"/>
        <v>AZC8Cxd42</v>
      </c>
      <c r="AF9" s="14" t="str">
        <f t="shared" si="15"/>
        <v>AZC8Cxd49</v>
      </c>
      <c r="AG9" s="14" t="str">
        <f>"AZC8Cxd"&amp;AG2</f>
        <v>AZC8Cxd63</v>
      </c>
      <c r="AH9" s="14" t="str">
        <f t="shared" ref="AH9:AI9" si="16">"AZC8Cxd"&amp;AH2</f>
        <v>AZC8Cxd77</v>
      </c>
      <c r="AI9" s="14" t="str">
        <f t="shared" si="16"/>
        <v>AZC8Cxd91</v>
      </c>
      <c r="AJ9" s="10"/>
    </row>
    <row r="10" spans="1:36" s="5" customFormat="1" ht="25" customHeight="1" x14ac:dyDescent="0.2">
      <c r="A10" s="14" t="s">
        <v>114</v>
      </c>
      <c r="B10" s="14" t="s">
        <v>125</v>
      </c>
      <c r="C10" s="12" t="s">
        <v>134</v>
      </c>
      <c r="D10" s="12">
        <v>4</v>
      </c>
      <c r="E10" s="14" t="s">
        <v>147</v>
      </c>
      <c r="F10" s="14" t="str">
        <f>"AZC9Cxd"&amp;F2</f>
        <v>AZC9Cxdm5</v>
      </c>
      <c r="G10" s="14" t="str">
        <f t="shared" ref="G10:S10" si="17">"AZC9Cxd"&amp;G2</f>
        <v>AZC9Cxd0</v>
      </c>
      <c r="H10" s="14" t="str">
        <f t="shared" si="17"/>
        <v>AZC9Cxd1</v>
      </c>
      <c r="I10" s="14" t="str">
        <f t="shared" si="17"/>
        <v>AZC9Cxd2</v>
      </c>
      <c r="J10" s="14" t="str">
        <f t="shared" si="17"/>
        <v>AZC9Cxd3</v>
      </c>
      <c r="K10" s="14" t="str">
        <f t="shared" si="17"/>
        <v>AZC9Cxd4</v>
      </c>
      <c r="L10" s="14" t="str">
        <f t="shared" si="17"/>
        <v>AZC9Cxd5</v>
      </c>
      <c r="M10" s="14" t="str">
        <f t="shared" si="17"/>
        <v>AZC9Cxd6</v>
      </c>
      <c r="N10" s="14" t="str">
        <f t="shared" si="17"/>
        <v>AZC9Cxd7</v>
      </c>
      <c r="O10" s="14" t="str">
        <f t="shared" si="17"/>
        <v>AZC9Cxd8</v>
      </c>
      <c r="P10" s="14" t="str">
        <f t="shared" si="17"/>
        <v>AZC9Cxd9</v>
      </c>
      <c r="Q10" s="14" t="str">
        <f t="shared" si="17"/>
        <v>AZC9Cxd10</v>
      </c>
      <c r="R10" s="14" t="str">
        <f t="shared" si="17"/>
        <v>AZC9Cxd11</v>
      </c>
      <c r="S10" s="14" t="str">
        <f t="shared" si="17"/>
        <v>AZC9Cxd12</v>
      </c>
      <c r="T10" s="14" t="str">
        <f t="shared" ref="T10:AF10" si="18">"AZC9Cxd"&amp;T2</f>
        <v>AZC9Cxd13</v>
      </c>
      <c r="U10" s="14" t="str">
        <f t="shared" si="18"/>
        <v>AZC9Cxd14</v>
      </c>
      <c r="V10" s="14" t="str">
        <f t="shared" si="18"/>
        <v>AZC9Cxd15</v>
      </c>
      <c r="W10" s="14" t="str">
        <f t="shared" si="18"/>
        <v>AZC9Cxd16</v>
      </c>
      <c r="X10" s="14" t="str">
        <f t="shared" si="18"/>
        <v>AZC9Cxd17</v>
      </c>
      <c r="Y10" s="14" t="str">
        <f t="shared" si="18"/>
        <v>AZC9Cxd18</v>
      </c>
      <c r="Z10" s="14" t="str">
        <f t="shared" si="18"/>
        <v>AZC9Cxd19</v>
      </c>
      <c r="AA10" s="14" t="str">
        <f t="shared" si="18"/>
        <v>AZC9Cxd20</v>
      </c>
      <c r="AB10" s="14" t="str">
        <f t="shared" si="18"/>
        <v>AZC9Cxd21</v>
      </c>
      <c r="AC10" s="14" t="str">
        <f t="shared" si="18"/>
        <v>AZC9Cxd28</v>
      </c>
      <c r="AD10" s="14" t="str">
        <f t="shared" si="18"/>
        <v>AZC9Cxd35</v>
      </c>
      <c r="AE10" s="14" t="str">
        <f t="shared" si="18"/>
        <v>AZC9Cxd42</v>
      </c>
      <c r="AF10" s="14" t="str">
        <f t="shared" si="18"/>
        <v>AZC9Cxd49</v>
      </c>
      <c r="AG10" s="14" t="str">
        <f>"AZC9Cxd"&amp;AG2</f>
        <v>AZC9Cxd63</v>
      </c>
      <c r="AH10" s="14" t="str">
        <f t="shared" ref="AH10:AI10" si="19">"AZC9Cxd"&amp;AH2</f>
        <v>AZC9Cxd77</v>
      </c>
      <c r="AI10" s="14" t="str">
        <f t="shared" si="19"/>
        <v>AZC9Cxd91</v>
      </c>
      <c r="AJ10" s="10"/>
    </row>
    <row r="11" spans="1:36" s="2" customFormat="1" ht="102" customHeight="1" x14ac:dyDescent="0.2">
      <c r="A11" s="14" t="s">
        <v>115</v>
      </c>
      <c r="B11" s="14" t="s">
        <v>108</v>
      </c>
      <c r="C11" s="12" t="s">
        <v>86</v>
      </c>
      <c r="D11" s="12">
        <v>5</v>
      </c>
      <c r="E11" s="17" t="s">
        <v>148</v>
      </c>
      <c r="F11" s="8"/>
      <c r="G11" s="17" t="s">
        <v>136</v>
      </c>
      <c r="H11" s="17" t="s">
        <v>137</v>
      </c>
      <c r="I11" s="8"/>
      <c r="J11" s="17" t="s">
        <v>138</v>
      </c>
      <c r="K11" s="8"/>
      <c r="L11" s="8"/>
      <c r="M11" s="8"/>
      <c r="N11" s="17" t="s">
        <v>139</v>
      </c>
      <c r="O11" s="8"/>
      <c r="P11" s="8"/>
      <c r="Q11" s="8"/>
      <c r="R11" s="8"/>
      <c r="S11" s="8"/>
      <c r="T11" s="8"/>
      <c r="U11" s="8"/>
      <c r="V11" s="17" t="s">
        <v>141</v>
      </c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18" t="s">
        <v>140</v>
      </c>
    </row>
    <row r="12" spans="1:36" s="2" customFormat="1" ht="102" customHeight="1" x14ac:dyDescent="0.2">
      <c r="A12" s="14" t="s">
        <v>117</v>
      </c>
      <c r="B12" s="14" t="s">
        <v>108</v>
      </c>
      <c r="C12" s="12" t="s">
        <v>86</v>
      </c>
      <c r="D12" s="12">
        <v>5</v>
      </c>
      <c r="E12" s="17" t="s">
        <v>148</v>
      </c>
      <c r="F12" s="8"/>
      <c r="G12" s="17" t="s">
        <v>142</v>
      </c>
      <c r="H12" s="17" t="s">
        <v>143</v>
      </c>
      <c r="I12" s="8"/>
      <c r="J12" s="17" t="s">
        <v>144</v>
      </c>
      <c r="K12" s="8"/>
      <c r="L12" s="8"/>
      <c r="M12" s="8"/>
      <c r="N12" s="17" t="s">
        <v>145</v>
      </c>
      <c r="O12" s="8"/>
      <c r="P12" s="8"/>
      <c r="Q12" s="8"/>
      <c r="R12" s="8"/>
      <c r="S12" s="8"/>
      <c r="T12" s="8"/>
      <c r="U12" s="8"/>
      <c r="V12" s="17" t="s">
        <v>146</v>
      </c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18"/>
    </row>
    <row r="13" spans="1:36" s="2" customFormat="1" ht="55" customHeight="1" x14ac:dyDescent="0.2">
      <c r="A13" s="14" t="s">
        <v>118</v>
      </c>
      <c r="B13" s="14" t="s">
        <v>108</v>
      </c>
      <c r="C13" s="12" t="s">
        <v>86</v>
      </c>
      <c r="D13" s="12">
        <v>4</v>
      </c>
      <c r="E13" s="17" t="s">
        <v>150</v>
      </c>
      <c r="F13" s="14" t="str">
        <f>"AZC12Jxd"&amp;F2</f>
        <v>AZC12Jxdm5</v>
      </c>
      <c r="G13" s="14" t="str">
        <f t="shared" ref="G13:AH13" si="20">"AZC12Jxd"&amp;G2</f>
        <v>AZC12Jxd0</v>
      </c>
      <c r="H13" s="14" t="str">
        <f t="shared" si="20"/>
        <v>AZC12Jxd1</v>
      </c>
      <c r="I13" s="14" t="str">
        <f t="shared" si="20"/>
        <v>AZC12Jxd2</v>
      </c>
      <c r="J13" s="14" t="str">
        <f t="shared" si="20"/>
        <v>AZC12Jxd3</v>
      </c>
      <c r="K13" s="14" t="str">
        <f t="shared" si="20"/>
        <v>AZC12Jxd4</v>
      </c>
      <c r="L13" s="14" t="str">
        <f t="shared" si="20"/>
        <v>AZC12Jxd5</v>
      </c>
      <c r="M13" s="14" t="str">
        <f t="shared" si="20"/>
        <v>AZC12Jxd6</v>
      </c>
      <c r="N13" s="14" t="str">
        <f t="shared" si="20"/>
        <v>AZC12Jxd7</v>
      </c>
      <c r="O13" s="14" t="str">
        <f t="shared" si="20"/>
        <v>AZC12Jxd8</v>
      </c>
      <c r="P13" s="14" t="str">
        <f t="shared" si="20"/>
        <v>AZC12Jxd9</v>
      </c>
      <c r="Q13" s="14" t="str">
        <f t="shared" si="20"/>
        <v>AZC12Jxd10</v>
      </c>
      <c r="R13" s="14" t="str">
        <f t="shared" si="20"/>
        <v>AZC12Jxd11</v>
      </c>
      <c r="S13" s="14" t="str">
        <f t="shared" si="20"/>
        <v>AZC12Jxd12</v>
      </c>
      <c r="T13" s="14" t="str">
        <f t="shared" si="20"/>
        <v>AZC12Jxd13</v>
      </c>
      <c r="U13" s="14" t="str">
        <f t="shared" si="20"/>
        <v>AZC12Jxd14</v>
      </c>
      <c r="V13" s="14" t="str">
        <f t="shared" si="20"/>
        <v>AZC12Jxd15</v>
      </c>
      <c r="W13" s="14" t="str">
        <f>"AZC12Jxd"&amp;W2</f>
        <v>AZC12Jxd16</v>
      </c>
      <c r="X13" s="14" t="str">
        <f t="shared" si="20"/>
        <v>AZC12Jxd17</v>
      </c>
      <c r="Y13" s="14" t="str">
        <f t="shared" si="20"/>
        <v>AZC12Jxd18</v>
      </c>
      <c r="Z13" s="14" t="str">
        <f t="shared" si="20"/>
        <v>AZC12Jxd19</v>
      </c>
      <c r="AA13" s="14" t="str">
        <f t="shared" si="20"/>
        <v>AZC12Jxd20</v>
      </c>
      <c r="AB13" s="14" t="str">
        <f t="shared" si="20"/>
        <v>AZC12Jxd21</v>
      </c>
      <c r="AC13" s="14" t="str">
        <f t="shared" si="20"/>
        <v>AZC12Jxd28</v>
      </c>
      <c r="AD13" s="14" t="str">
        <f t="shared" si="20"/>
        <v>AZC12Jxd35</v>
      </c>
      <c r="AE13" s="14" t="str">
        <f t="shared" si="20"/>
        <v>AZC12Jxd42</v>
      </c>
      <c r="AF13" s="14" t="str">
        <f t="shared" si="20"/>
        <v>AZC12Jxd49</v>
      </c>
      <c r="AG13" s="14" t="str">
        <f t="shared" si="20"/>
        <v>AZC12Jxd63</v>
      </c>
      <c r="AH13" s="14" t="str">
        <f t="shared" si="20"/>
        <v>AZC12Jxd77</v>
      </c>
      <c r="AI13" s="14" t="str">
        <f>"AZC12Jxd"&amp;AI2</f>
        <v>AZC12Jxd91</v>
      </c>
      <c r="AJ13" s="40" t="s">
        <v>135</v>
      </c>
    </row>
    <row r="14" spans="1:36" s="2" customFormat="1" ht="25" customHeight="1" x14ac:dyDescent="0.2">
      <c r="A14" s="14" t="s">
        <v>119</v>
      </c>
      <c r="B14" s="14" t="s">
        <v>108</v>
      </c>
      <c r="C14" s="12" t="s">
        <v>86</v>
      </c>
      <c r="D14" s="12">
        <v>4</v>
      </c>
      <c r="E14" s="14" t="s">
        <v>151</v>
      </c>
      <c r="F14" s="14" t="str">
        <f>"AZC14Jxd"&amp;F2</f>
        <v>AZC14Jxdm5</v>
      </c>
      <c r="G14" s="14" t="str">
        <f t="shared" ref="G14:O14" si="21">"AZC14Jxd"&amp;G2</f>
        <v>AZC14Jxd0</v>
      </c>
      <c r="H14" s="14" t="str">
        <f t="shared" si="21"/>
        <v>AZC14Jxd1</v>
      </c>
      <c r="I14" s="14" t="str">
        <f t="shared" si="21"/>
        <v>AZC14Jxd2</v>
      </c>
      <c r="J14" s="14" t="str">
        <f t="shared" si="21"/>
        <v>AZC14Jxd3</v>
      </c>
      <c r="K14" s="14" t="str">
        <f t="shared" si="21"/>
        <v>AZC14Jxd4</v>
      </c>
      <c r="L14" s="14" t="str">
        <f t="shared" si="21"/>
        <v>AZC14Jxd5</v>
      </c>
      <c r="M14" s="14" t="str">
        <f t="shared" si="21"/>
        <v>AZC14Jxd6</v>
      </c>
      <c r="N14" s="14" t="str">
        <f t="shared" si="21"/>
        <v>AZC14Jxd7</v>
      </c>
      <c r="O14" s="14" t="str">
        <f t="shared" si="21"/>
        <v>AZC14Jxd8</v>
      </c>
      <c r="P14" s="14" t="str">
        <f>"AZC14Jxd"&amp;P2</f>
        <v>AZC14Jxd9</v>
      </c>
      <c r="Q14" s="14" t="str">
        <f t="shared" ref="Q14:W14" si="22">"AZC14Jxd"&amp;Q2</f>
        <v>AZC14Jxd10</v>
      </c>
      <c r="R14" s="14" t="str">
        <f t="shared" si="22"/>
        <v>AZC14Jxd11</v>
      </c>
      <c r="S14" s="14" t="str">
        <f t="shared" si="22"/>
        <v>AZC14Jxd12</v>
      </c>
      <c r="T14" s="14" t="str">
        <f t="shared" si="22"/>
        <v>AZC14Jxd13</v>
      </c>
      <c r="U14" s="14" t="str">
        <f t="shared" si="22"/>
        <v>AZC14Jxd14</v>
      </c>
      <c r="V14" s="14" t="str">
        <f t="shared" si="22"/>
        <v>AZC14Jxd15</v>
      </c>
      <c r="W14" s="14" t="str">
        <f t="shared" si="22"/>
        <v>AZC14Jxd16</v>
      </c>
      <c r="X14" s="14" t="str">
        <f>"AZC14Jxd"&amp;X2</f>
        <v>AZC14Jxd17</v>
      </c>
      <c r="Y14" s="14" t="str">
        <f t="shared" ref="Y14:AE14" si="23">"AZC14Jxd"&amp;Y2</f>
        <v>AZC14Jxd18</v>
      </c>
      <c r="Z14" s="14" t="str">
        <f t="shared" si="23"/>
        <v>AZC14Jxd19</v>
      </c>
      <c r="AA14" s="14" t="str">
        <f t="shared" si="23"/>
        <v>AZC14Jxd20</v>
      </c>
      <c r="AB14" s="14" t="str">
        <f t="shared" si="23"/>
        <v>AZC14Jxd21</v>
      </c>
      <c r="AC14" s="14" t="str">
        <f t="shared" si="23"/>
        <v>AZC14Jxd28</v>
      </c>
      <c r="AD14" s="14" t="str">
        <f t="shared" si="23"/>
        <v>AZC14Jxd35</v>
      </c>
      <c r="AE14" s="14" t="str">
        <f t="shared" si="23"/>
        <v>AZC14Jxd42</v>
      </c>
      <c r="AF14" s="14" t="str">
        <f>"AZC14Jxd"&amp;AF2</f>
        <v>AZC14Jxd49</v>
      </c>
      <c r="AG14" s="14" t="str">
        <f t="shared" ref="AG14:AI14" si="24">"AZC14Jxd"&amp;AG2</f>
        <v>AZC14Jxd63</v>
      </c>
      <c r="AH14" s="14" t="str">
        <f t="shared" si="24"/>
        <v>AZC14Jxd77</v>
      </c>
      <c r="AI14" s="14" t="str">
        <f t="shared" si="24"/>
        <v>AZC14Jxd91</v>
      </c>
      <c r="AJ14" s="41"/>
    </row>
    <row r="15" spans="1:36" s="2" customFormat="1" ht="25" customHeight="1" x14ac:dyDescent="0.2">
      <c r="A15" s="14" t="s">
        <v>120</v>
      </c>
      <c r="B15" s="14" t="s">
        <v>108</v>
      </c>
      <c r="C15" s="12" t="s">
        <v>86</v>
      </c>
      <c r="D15" s="12">
        <v>4</v>
      </c>
      <c r="E15" s="14" t="s">
        <v>152</v>
      </c>
      <c r="F15" s="14" t="str">
        <f>"AZC15Jxd"&amp;F2</f>
        <v>AZC15Jxdm5</v>
      </c>
      <c r="G15" s="14" t="str">
        <f t="shared" ref="G15:O15" si="25">"AZC15Jxd"&amp;G2</f>
        <v>AZC15Jxd0</v>
      </c>
      <c r="H15" s="14" t="str">
        <f t="shared" si="25"/>
        <v>AZC15Jxd1</v>
      </c>
      <c r="I15" s="14" t="str">
        <f t="shared" si="25"/>
        <v>AZC15Jxd2</v>
      </c>
      <c r="J15" s="14" t="str">
        <f t="shared" si="25"/>
        <v>AZC15Jxd3</v>
      </c>
      <c r="K15" s="14" t="str">
        <f t="shared" si="25"/>
        <v>AZC15Jxd4</v>
      </c>
      <c r="L15" s="14" t="str">
        <f t="shared" si="25"/>
        <v>AZC15Jxd5</v>
      </c>
      <c r="M15" s="14" t="str">
        <f t="shared" si="25"/>
        <v>AZC15Jxd6</v>
      </c>
      <c r="N15" s="14" t="str">
        <f t="shared" si="25"/>
        <v>AZC15Jxd7</v>
      </c>
      <c r="O15" s="14" t="str">
        <f t="shared" si="25"/>
        <v>AZC15Jxd8</v>
      </c>
      <c r="P15" s="14" t="str">
        <f>"AZC15Jxd"&amp;P2</f>
        <v>AZC15Jxd9</v>
      </c>
      <c r="Q15" s="14" t="str">
        <f t="shared" ref="Q15:W15" si="26">"AZC15Jxd"&amp;Q2</f>
        <v>AZC15Jxd10</v>
      </c>
      <c r="R15" s="14" t="str">
        <f t="shared" si="26"/>
        <v>AZC15Jxd11</v>
      </c>
      <c r="S15" s="14" t="str">
        <f t="shared" si="26"/>
        <v>AZC15Jxd12</v>
      </c>
      <c r="T15" s="14" t="str">
        <f t="shared" si="26"/>
        <v>AZC15Jxd13</v>
      </c>
      <c r="U15" s="14" t="str">
        <f t="shared" si="26"/>
        <v>AZC15Jxd14</v>
      </c>
      <c r="V15" s="14" t="str">
        <f t="shared" si="26"/>
        <v>AZC15Jxd15</v>
      </c>
      <c r="W15" s="14" t="str">
        <f t="shared" si="26"/>
        <v>AZC15Jxd16</v>
      </c>
      <c r="X15" s="14" t="str">
        <f>"AZC15Jxd"&amp;X2</f>
        <v>AZC15Jxd17</v>
      </c>
      <c r="Y15" s="14" t="str">
        <f t="shared" ref="Y15:AE15" si="27">"AZC15Jxd"&amp;Y2</f>
        <v>AZC15Jxd18</v>
      </c>
      <c r="Z15" s="14" t="str">
        <f t="shared" si="27"/>
        <v>AZC15Jxd19</v>
      </c>
      <c r="AA15" s="14" t="str">
        <f t="shared" si="27"/>
        <v>AZC15Jxd20</v>
      </c>
      <c r="AB15" s="14" t="str">
        <f t="shared" si="27"/>
        <v>AZC15Jxd21</v>
      </c>
      <c r="AC15" s="14" t="str">
        <f t="shared" si="27"/>
        <v>AZC15Jxd28</v>
      </c>
      <c r="AD15" s="14" t="str">
        <f t="shared" si="27"/>
        <v>AZC15Jxd35</v>
      </c>
      <c r="AE15" s="14" t="str">
        <f t="shared" si="27"/>
        <v>AZC15Jxd42</v>
      </c>
      <c r="AF15" s="14" t="str">
        <f>"AZC15Jxd"&amp;AF2</f>
        <v>AZC15Jxd49</v>
      </c>
      <c r="AG15" s="14" t="str">
        <f t="shared" ref="AG15:AI15" si="28">"AZC15Jxd"&amp;AG2</f>
        <v>AZC15Jxd63</v>
      </c>
      <c r="AH15" s="14" t="str">
        <f t="shared" si="28"/>
        <v>AZC15Jxd77</v>
      </c>
      <c r="AI15" s="14" t="str">
        <f t="shared" si="28"/>
        <v>AZC15Jxd91</v>
      </c>
      <c r="AJ15" s="41"/>
    </row>
    <row r="16" spans="1:36" s="2" customFormat="1" ht="55" customHeight="1" x14ac:dyDescent="0.2">
      <c r="A16" s="14" t="s">
        <v>121</v>
      </c>
      <c r="B16" s="14" t="s">
        <v>108</v>
      </c>
      <c r="C16" s="12" t="s">
        <v>86</v>
      </c>
      <c r="D16" s="12">
        <v>4</v>
      </c>
      <c r="E16" s="17" t="s">
        <v>153</v>
      </c>
      <c r="F16" s="14" t="str">
        <f>"AZC16Jxd"&amp;F2</f>
        <v>AZC16Jxdm5</v>
      </c>
      <c r="G16" s="14" t="str">
        <f t="shared" ref="G16:K16" si="29">"AZC16Jxd"&amp;G2</f>
        <v>AZC16Jxd0</v>
      </c>
      <c r="H16" s="14" t="str">
        <f t="shared" si="29"/>
        <v>AZC16Jxd1</v>
      </c>
      <c r="I16" s="14" t="str">
        <f t="shared" si="29"/>
        <v>AZC16Jxd2</v>
      </c>
      <c r="J16" s="14" t="str">
        <f t="shared" si="29"/>
        <v>AZC16Jxd3</v>
      </c>
      <c r="K16" s="14" t="str">
        <f t="shared" si="29"/>
        <v>AZC16Jxd4</v>
      </c>
      <c r="L16" s="14" t="str">
        <f>"AZC16Jxd"&amp;L2</f>
        <v>AZC16Jxd5</v>
      </c>
      <c r="M16" s="14" t="str">
        <f t="shared" ref="M16:U16" si="30">"AZC16Jxd"&amp;M2</f>
        <v>AZC16Jxd6</v>
      </c>
      <c r="N16" s="14" t="str">
        <f t="shared" si="30"/>
        <v>AZC16Jxd7</v>
      </c>
      <c r="O16" s="14" t="str">
        <f t="shared" si="30"/>
        <v>AZC16Jxd8</v>
      </c>
      <c r="P16" s="14" t="str">
        <f t="shared" si="30"/>
        <v>AZC16Jxd9</v>
      </c>
      <c r="Q16" s="14" t="str">
        <f t="shared" si="30"/>
        <v>AZC16Jxd10</v>
      </c>
      <c r="R16" s="14" t="str">
        <f t="shared" si="30"/>
        <v>AZC16Jxd11</v>
      </c>
      <c r="S16" s="14" t="str">
        <f t="shared" si="30"/>
        <v>AZC16Jxd12</v>
      </c>
      <c r="T16" s="14" t="str">
        <f t="shared" si="30"/>
        <v>AZC16Jxd13</v>
      </c>
      <c r="U16" s="14" t="str">
        <f t="shared" si="30"/>
        <v>AZC16Jxd14</v>
      </c>
      <c r="V16" s="14" t="str">
        <f>"AZC16Jxd"&amp;V2</f>
        <v>AZC16Jxd15</v>
      </c>
      <c r="W16" s="14" t="str">
        <f t="shared" ref="W16:AA16" si="31">"AZC16Jxd"&amp;W2</f>
        <v>AZC16Jxd16</v>
      </c>
      <c r="X16" s="14" t="str">
        <f t="shared" si="31"/>
        <v>AZC16Jxd17</v>
      </c>
      <c r="Y16" s="14" t="str">
        <f t="shared" si="31"/>
        <v>AZC16Jxd18</v>
      </c>
      <c r="Z16" s="14" t="str">
        <f t="shared" si="31"/>
        <v>AZC16Jxd19</v>
      </c>
      <c r="AA16" s="14" t="str">
        <f t="shared" si="31"/>
        <v>AZC16Jxd20</v>
      </c>
      <c r="AB16" s="14" t="str">
        <f>"AZC16Jxd"&amp;AB2</f>
        <v>AZC16Jxd21</v>
      </c>
      <c r="AC16" s="14" t="str">
        <f t="shared" ref="AC16" si="32">"AZC16Jxd"&amp;AC2</f>
        <v>AZC16Jxd28</v>
      </c>
      <c r="AD16" s="14" t="str">
        <f>"AZC16Jxd"&amp;AD2</f>
        <v>AZC16Jxd35</v>
      </c>
      <c r="AE16" s="14" t="str">
        <f t="shared" ref="AE16:AI16" si="33">"AZC16Jxd"&amp;AE2</f>
        <v>AZC16Jxd42</v>
      </c>
      <c r="AF16" s="14" t="str">
        <f t="shared" si="33"/>
        <v>AZC16Jxd49</v>
      </c>
      <c r="AG16" s="14" t="str">
        <f t="shared" si="33"/>
        <v>AZC16Jxd63</v>
      </c>
      <c r="AH16" s="14" t="str">
        <f t="shared" si="33"/>
        <v>AZC16Jxd77</v>
      </c>
      <c r="AI16" s="14" t="str">
        <f t="shared" si="33"/>
        <v>AZC16Jxd91</v>
      </c>
      <c r="AJ16" s="41"/>
    </row>
    <row r="17" spans="1:36" s="2" customFormat="1" ht="24" customHeight="1" x14ac:dyDescent="0.2">
      <c r="A17" s="14" t="s">
        <v>514</v>
      </c>
      <c r="B17" s="14" t="s">
        <v>108</v>
      </c>
      <c r="C17" s="12" t="s">
        <v>86</v>
      </c>
      <c r="D17" s="12">
        <v>4</v>
      </c>
      <c r="E17" s="17" t="s">
        <v>516</v>
      </c>
      <c r="F17" s="14"/>
      <c r="G17" s="14"/>
      <c r="H17" s="14" t="str">
        <f>"AZCJxd"&amp;H2</f>
        <v>AZCJxd1</v>
      </c>
      <c r="I17" s="14" t="str">
        <f t="shared" ref="I17:P17" si="34">"AZCJxd"&amp;I2</f>
        <v>AZCJxd2</v>
      </c>
      <c r="J17" s="14" t="str">
        <f t="shared" si="34"/>
        <v>AZCJxd3</v>
      </c>
      <c r="K17" s="14" t="str">
        <f t="shared" si="34"/>
        <v>AZCJxd4</v>
      </c>
      <c r="L17" s="14" t="str">
        <f t="shared" si="34"/>
        <v>AZCJxd5</v>
      </c>
      <c r="M17" s="14" t="str">
        <f t="shared" si="34"/>
        <v>AZCJxd6</v>
      </c>
      <c r="N17" s="14" t="str">
        <f t="shared" si="34"/>
        <v>AZCJxd7</v>
      </c>
      <c r="O17" s="14" t="str">
        <f t="shared" si="34"/>
        <v>AZCJxd8</v>
      </c>
      <c r="P17" s="14" t="str">
        <f t="shared" si="34"/>
        <v>AZCJxd9</v>
      </c>
      <c r="Q17" s="14" t="str">
        <f>"AZCJxd"&amp;Q2</f>
        <v>AZCJxd10</v>
      </c>
      <c r="R17" s="14" t="str">
        <f t="shared" ref="R17:T17" si="35">"AZCJxd"&amp;R2</f>
        <v>AZCJxd11</v>
      </c>
      <c r="S17" s="14" t="str">
        <f t="shared" si="35"/>
        <v>AZCJxd12</v>
      </c>
      <c r="T17" s="14" t="str">
        <f t="shared" si="35"/>
        <v>AZCJxd13</v>
      </c>
      <c r="U17" s="14"/>
      <c r="V17" s="14"/>
      <c r="W17" s="14"/>
      <c r="X17" s="14"/>
      <c r="Y17" s="14"/>
      <c r="Z17" s="14"/>
      <c r="AA17" s="14"/>
      <c r="AB17" s="14" t="str">
        <f t="shared" ref="AB17" si="36">"AZCJxd"&amp;AB2</f>
        <v>AZCJxd21</v>
      </c>
      <c r="AC17" s="14"/>
      <c r="AD17" s="14"/>
      <c r="AE17" s="14"/>
      <c r="AF17" s="14"/>
      <c r="AG17" s="14"/>
      <c r="AH17" s="14"/>
      <c r="AI17" s="14"/>
      <c r="AJ17" s="41"/>
    </row>
    <row r="18" spans="1:36" s="2" customFormat="1" ht="24" customHeight="1" x14ac:dyDescent="0.2">
      <c r="A18" s="14" t="s">
        <v>515</v>
      </c>
      <c r="B18" s="14" t="s">
        <v>108</v>
      </c>
      <c r="C18" s="12" t="s">
        <v>86</v>
      </c>
      <c r="D18" s="12">
        <v>4</v>
      </c>
      <c r="E18" s="17" t="s">
        <v>517</v>
      </c>
      <c r="F18" s="14"/>
      <c r="G18" s="14"/>
      <c r="H18" s="14" t="str">
        <f>"CsyCJxd"&amp;H2</f>
        <v>CsyCJxd1</v>
      </c>
      <c r="I18" s="14" t="str">
        <f t="shared" ref="I18:P18" si="37">"CsyCJxd"&amp;I2</f>
        <v>CsyCJxd2</v>
      </c>
      <c r="J18" s="14" t="str">
        <f t="shared" si="37"/>
        <v>CsyCJxd3</v>
      </c>
      <c r="K18" s="14" t="str">
        <f t="shared" si="37"/>
        <v>CsyCJxd4</v>
      </c>
      <c r="L18" s="14" t="str">
        <f t="shared" si="37"/>
        <v>CsyCJxd5</v>
      </c>
      <c r="M18" s="14" t="str">
        <f t="shared" si="37"/>
        <v>CsyCJxd6</v>
      </c>
      <c r="N18" s="14" t="str">
        <f t="shared" si="37"/>
        <v>CsyCJxd7</v>
      </c>
      <c r="O18" s="14" t="str">
        <f t="shared" si="37"/>
        <v>CsyCJxd8</v>
      </c>
      <c r="P18" s="14" t="str">
        <f t="shared" si="37"/>
        <v>CsyCJxd9</v>
      </c>
      <c r="Q18" s="14" t="str">
        <f>"CsyCJxd"&amp;Q2</f>
        <v>CsyCJxd10</v>
      </c>
      <c r="R18" s="14" t="str">
        <f t="shared" ref="R18:T18" si="38">"CsyCJxd"&amp;R2</f>
        <v>CsyCJxd11</v>
      </c>
      <c r="S18" s="14" t="str">
        <f t="shared" si="38"/>
        <v>CsyCJxd12</v>
      </c>
      <c r="T18" s="14" t="str">
        <f t="shared" si="38"/>
        <v>CsyCJxd13</v>
      </c>
      <c r="U18" s="14"/>
      <c r="V18" s="14"/>
      <c r="W18" s="14"/>
      <c r="X18" s="14"/>
      <c r="Y18" s="14"/>
      <c r="Z18" s="14"/>
      <c r="AA18" s="14"/>
      <c r="AB18" s="14" t="str">
        <f t="shared" ref="AB18" si="39">"CsyCJxd"&amp;AB2</f>
        <v>CsyCJxd21</v>
      </c>
      <c r="AC18" s="14"/>
      <c r="AD18" s="14"/>
      <c r="AE18" s="14"/>
      <c r="AF18" s="14"/>
      <c r="AG18" s="14"/>
      <c r="AH18" s="14"/>
      <c r="AI18" s="14"/>
      <c r="AJ18" s="42"/>
    </row>
    <row r="19" spans="1:36" s="2" customFormat="1" ht="38" customHeight="1" x14ac:dyDescent="0.2">
      <c r="G19" s="5"/>
      <c r="H19" s="5"/>
      <c r="I19" s="5"/>
      <c r="J19" s="5"/>
      <c r="K19" s="5"/>
      <c r="AJ19"/>
    </row>
    <row r="20" spans="1:36" s="2" customFormat="1" ht="29" customHeight="1" x14ac:dyDescent="0.2">
      <c r="A20" s="13" t="s">
        <v>154</v>
      </c>
      <c r="B20" s="13"/>
      <c r="C20" s="13"/>
      <c r="D20" s="13"/>
      <c r="E20" s="13"/>
      <c r="F20" s="13"/>
      <c r="G20" s="5"/>
      <c r="H20" s="5"/>
      <c r="I20" s="5"/>
      <c r="J20" s="5"/>
      <c r="K20" s="5"/>
      <c r="AJ20"/>
    </row>
    <row r="21" spans="1:36" ht="29" customHeight="1" x14ac:dyDescent="0.2">
      <c r="A21" s="11" t="s">
        <v>155</v>
      </c>
      <c r="B21" s="36" t="s">
        <v>122</v>
      </c>
      <c r="C21" s="11" t="s">
        <v>210</v>
      </c>
      <c r="D21" s="11" t="s">
        <v>129</v>
      </c>
      <c r="E21" s="36" t="s">
        <v>149</v>
      </c>
      <c r="F21" s="11" t="s">
        <v>156</v>
      </c>
    </row>
    <row r="22" spans="1:36" ht="24" customHeight="1" x14ac:dyDescent="0.2">
      <c r="A22" s="14" t="s">
        <v>89</v>
      </c>
      <c r="B22" s="10" t="s">
        <v>157</v>
      </c>
      <c r="C22" s="10"/>
      <c r="D22" s="10"/>
      <c r="E22" s="10"/>
      <c r="F22" s="10"/>
    </row>
    <row r="23" spans="1:36" ht="24" customHeight="1" x14ac:dyDescent="0.2">
      <c r="A23" s="14" t="s">
        <v>265</v>
      </c>
      <c r="B23" s="14" t="s">
        <v>108</v>
      </c>
      <c r="C23" s="25">
        <v>1</v>
      </c>
      <c r="D23" s="25">
        <v>0</v>
      </c>
      <c r="E23" s="14" t="s">
        <v>147</v>
      </c>
      <c r="F23" s="14" t="s">
        <v>386</v>
      </c>
    </row>
    <row r="24" spans="1:36" ht="24" customHeight="1" x14ac:dyDescent="0.2">
      <c r="A24" s="14" t="s">
        <v>266</v>
      </c>
      <c r="B24" s="14" t="s">
        <v>108</v>
      </c>
      <c r="C24" s="25">
        <v>1</v>
      </c>
      <c r="D24" s="25">
        <v>0</v>
      </c>
      <c r="E24" s="14" t="s">
        <v>147</v>
      </c>
      <c r="F24" s="14" t="s">
        <v>387</v>
      </c>
    </row>
    <row r="25" spans="1:36" ht="24" customHeight="1" x14ac:dyDescent="0.2">
      <c r="A25" s="14" t="s">
        <v>267</v>
      </c>
      <c r="B25" s="14" t="s">
        <v>108</v>
      </c>
      <c r="C25" s="25">
        <v>1</v>
      </c>
      <c r="D25" s="25">
        <v>12</v>
      </c>
      <c r="E25" s="14" t="s">
        <v>147</v>
      </c>
      <c r="F25" s="14" t="s">
        <v>386</v>
      </c>
    </row>
    <row r="26" spans="1:36" ht="24" customHeight="1" x14ac:dyDescent="0.2">
      <c r="A26" s="14" t="s">
        <v>268</v>
      </c>
      <c r="B26" s="14" t="s">
        <v>108</v>
      </c>
      <c r="C26" s="25">
        <v>1</v>
      </c>
      <c r="D26" s="25">
        <v>1</v>
      </c>
      <c r="E26" s="14" t="s">
        <v>147</v>
      </c>
      <c r="F26" s="14" t="s">
        <v>386</v>
      </c>
    </row>
    <row r="27" spans="1:36" ht="24" customHeight="1" x14ac:dyDescent="0.2">
      <c r="A27" s="14" t="s">
        <v>269</v>
      </c>
      <c r="B27" s="14" t="s">
        <v>108</v>
      </c>
      <c r="C27" s="25">
        <v>1</v>
      </c>
      <c r="D27" s="25">
        <v>1</v>
      </c>
      <c r="E27" s="14" t="s">
        <v>147</v>
      </c>
      <c r="F27" s="14" t="s">
        <v>387</v>
      </c>
    </row>
    <row r="28" spans="1:36" ht="24" customHeight="1" x14ac:dyDescent="0.2">
      <c r="A28" s="14" t="s">
        <v>270</v>
      </c>
      <c r="B28" s="14" t="s">
        <v>108</v>
      </c>
      <c r="C28" s="25">
        <v>1</v>
      </c>
      <c r="D28" s="25">
        <v>20</v>
      </c>
      <c r="E28" s="14" t="s">
        <v>147</v>
      </c>
      <c r="F28" s="14"/>
    </row>
    <row r="29" spans="1:36" ht="24" customHeight="1" x14ac:dyDescent="0.2">
      <c r="A29" s="14" t="s">
        <v>271</v>
      </c>
      <c r="B29" s="14" t="s">
        <v>108</v>
      </c>
      <c r="C29" s="25">
        <v>1</v>
      </c>
      <c r="D29" s="25">
        <v>28</v>
      </c>
      <c r="E29" s="14" t="s">
        <v>147</v>
      </c>
      <c r="F29" s="14"/>
    </row>
    <row r="30" spans="1:36" ht="24" customHeight="1" x14ac:dyDescent="0.2">
      <c r="A30" s="14" t="s">
        <v>272</v>
      </c>
      <c r="B30" s="14" t="s">
        <v>108</v>
      </c>
      <c r="C30" s="25">
        <v>1</v>
      </c>
      <c r="D30" s="25">
        <v>2</v>
      </c>
      <c r="E30" s="14" t="s">
        <v>147</v>
      </c>
      <c r="F30" s="14" t="s">
        <v>386</v>
      </c>
    </row>
    <row r="31" spans="1:36" ht="24" customHeight="1" x14ac:dyDescent="0.2">
      <c r="A31" s="14" t="s">
        <v>273</v>
      </c>
      <c r="B31" s="14" t="s">
        <v>108</v>
      </c>
      <c r="C31" s="25">
        <v>1</v>
      </c>
      <c r="D31" s="25">
        <v>35</v>
      </c>
      <c r="E31" s="14" t="s">
        <v>147</v>
      </c>
      <c r="F31" s="14"/>
    </row>
    <row r="32" spans="1:36" ht="24" customHeight="1" x14ac:dyDescent="0.2">
      <c r="A32" s="14" t="s">
        <v>274</v>
      </c>
      <c r="B32" s="14" t="s">
        <v>108</v>
      </c>
      <c r="C32" s="25">
        <v>1</v>
      </c>
      <c r="D32" s="25">
        <v>3</v>
      </c>
      <c r="E32" s="14" t="s">
        <v>147</v>
      </c>
      <c r="F32" s="14" t="s">
        <v>386</v>
      </c>
    </row>
    <row r="33" spans="1:6" ht="24" customHeight="1" x14ac:dyDescent="0.2">
      <c r="A33" s="14" t="s">
        <v>275</v>
      </c>
      <c r="B33" s="14" t="s">
        <v>108</v>
      </c>
      <c r="C33" s="25">
        <v>1</v>
      </c>
      <c r="D33" s="25">
        <v>45</v>
      </c>
      <c r="E33" s="14" t="s">
        <v>147</v>
      </c>
      <c r="F33" s="14"/>
    </row>
    <row r="34" spans="1:6" ht="24" customHeight="1" x14ac:dyDescent="0.2">
      <c r="A34" s="14" t="s">
        <v>276</v>
      </c>
      <c r="B34" s="14" t="s">
        <v>108</v>
      </c>
      <c r="C34" s="25">
        <v>1</v>
      </c>
      <c r="D34" s="25">
        <v>4</v>
      </c>
      <c r="E34" s="14" t="s">
        <v>147</v>
      </c>
      <c r="F34" s="14" t="s">
        <v>386</v>
      </c>
    </row>
    <row r="35" spans="1:6" ht="24" customHeight="1" x14ac:dyDescent="0.2">
      <c r="A35" s="14" t="s">
        <v>277</v>
      </c>
      <c r="B35" s="14" t="s">
        <v>108</v>
      </c>
      <c r="C35" s="25">
        <v>1</v>
      </c>
      <c r="D35" s="25">
        <v>5</v>
      </c>
      <c r="E35" s="14" t="s">
        <v>147</v>
      </c>
      <c r="F35" s="14" t="s">
        <v>386</v>
      </c>
    </row>
    <row r="36" spans="1:6" ht="24" customHeight="1" x14ac:dyDescent="0.2">
      <c r="A36" s="14" t="s">
        <v>278</v>
      </c>
      <c r="B36" s="14" t="s">
        <v>108</v>
      </c>
      <c r="C36" s="25">
        <v>1</v>
      </c>
      <c r="D36" s="25">
        <v>5</v>
      </c>
      <c r="E36" s="14" t="s">
        <v>147</v>
      </c>
      <c r="F36" s="14" t="s">
        <v>387</v>
      </c>
    </row>
    <row r="37" spans="1:6" ht="24" customHeight="1" x14ac:dyDescent="0.2">
      <c r="A37" s="14" t="s">
        <v>279</v>
      </c>
      <c r="B37" s="14" t="s">
        <v>108</v>
      </c>
      <c r="C37" s="25">
        <v>1</v>
      </c>
      <c r="D37" s="25">
        <v>60</v>
      </c>
      <c r="E37" s="14" t="s">
        <v>147</v>
      </c>
      <c r="F37" s="14"/>
    </row>
    <row r="38" spans="1:6" ht="24" customHeight="1" x14ac:dyDescent="0.2">
      <c r="A38" s="14" t="s">
        <v>280</v>
      </c>
      <c r="B38" s="14" t="s">
        <v>108</v>
      </c>
      <c r="C38" s="25">
        <v>1</v>
      </c>
      <c r="D38" s="25">
        <v>71</v>
      </c>
      <c r="E38" s="14" t="s">
        <v>147</v>
      </c>
      <c r="F38" s="14"/>
    </row>
    <row r="39" spans="1:6" ht="24" customHeight="1" x14ac:dyDescent="0.2">
      <c r="A39" s="14" t="s">
        <v>281</v>
      </c>
      <c r="B39" s="14" t="s">
        <v>108</v>
      </c>
      <c r="C39" s="25">
        <v>1</v>
      </c>
      <c r="D39" s="25">
        <v>7</v>
      </c>
      <c r="E39" s="14" t="s">
        <v>147</v>
      </c>
      <c r="F39" s="14" t="s">
        <v>386</v>
      </c>
    </row>
    <row r="40" spans="1:6" ht="24" customHeight="1" x14ac:dyDescent="0.2">
      <c r="A40" s="14" t="s">
        <v>282</v>
      </c>
      <c r="B40" s="14" t="s">
        <v>108</v>
      </c>
      <c r="C40" s="25">
        <v>1</v>
      </c>
      <c r="D40" s="25">
        <v>8</v>
      </c>
      <c r="E40" s="14" t="s">
        <v>147</v>
      </c>
      <c r="F40" s="14"/>
    </row>
    <row r="41" spans="1:6" ht="24" customHeight="1" x14ac:dyDescent="0.2">
      <c r="A41" s="14" t="s">
        <v>283</v>
      </c>
      <c r="B41" s="14" t="s">
        <v>108</v>
      </c>
      <c r="C41" s="25">
        <v>1</v>
      </c>
      <c r="D41" s="25">
        <v>9</v>
      </c>
      <c r="E41" s="14" t="s">
        <v>147</v>
      </c>
      <c r="F41" s="14" t="s">
        <v>386</v>
      </c>
    </row>
    <row r="42" spans="1:6" ht="24" customHeight="1" x14ac:dyDescent="0.2">
      <c r="A42" s="14" t="s">
        <v>284</v>
      </c>
      <c r="B42" s="14" t="s">
        <v>108</v>
      </c>
      <c r="C42" s="25">
        <v>2</v>
      </c>
      <c r="D42" s="25">
        <v>0</v>
      </c>
      <c r="E42" s="14" t="s">
        <v>147</v>
      </c>
      <c r="F42" s="14" t="s">
        <v>386</v>
      </c>
    </row>
    <row r="43" spans="1:6" ht="24" customHeight="1" x14ac:dyDescent="0.2">
      <c r="A43" s="14" t="s">
        <v>285</v>
      </c>
      <c r="B43" s="14" t="s">
        <v>108</v>
      </c>
      <c r="C43" s="25">
        <v>2</v>
      </c>
      <c r="D43" s="25">
        <v>0</v>
      </c>
      <c r="E43" s="14" t="s">
        <v>147</v>
      </c>
      <c r="F43" s="14" t="s">
        <v>387</v>
      </c>
    </row>
    <row r="44" spans="1:6" ht="24" customHeight="1" x14ac:dyDescent="0.2">
      <c r="A44" s="14" t="s">
        <v>286</v>
      </c>
      <c r="B44" s="14" t="s">
        <v>108</v>
      </c>
      <c r="C44" s="25">
        <v>2</v>
      </c>
      <c r="D44" s="25">
        <v>12</v>
      </c>
      <c r="E44" s="14" t="s">
        <v>147</v>
      </c>
      <c r="F44" s="14" t="s">
        <v>386</v>
      </c>
    </row>
    <row r="45" spans="1:6" ht="24" customHeight="1" x14ac:dyDescent="0.2">
      <c r="A45" s="14" t="s">
        <v>287</v>
      </c>
      <c r="B45" s="14" t="s">
        <v>108</v>
      </c>
      <c r="C45" s="25">
        <v>2</v>
      </c>
      <c r="D45" s="25">
        <v>1</v>
      </c>
      <c r="E45" s="14" t="s">
        <v>147</v>
      </c>
      <c r="F45" s="14" t="s">
        <v>386</v>
      </c>
    </row>
    <row r="46" spans="1:6" ht="24" customHeight="1" x14ac:dyDescent="0.2">
      <c r="A46" s="14" t="s">
        <v>288</v>
      </c>
      <c r="B46" s="14" t="s">
        <v>108</v>
      </c>
      <c r="C46" s="25">
        <v>2</v>
      </c>
      <c r="D46" s="25">
        <v>1</v>
      </c>
      <c r="E46" s="14" t="s">
        <v>147</v>
      </c>
      <c r="F46" s="14" t="s">
        <v>387</v>
      </c>
    </row>
    <row r="47" spans="1:6" ht="24" customHeight="1" x14ac:dyDescent="0.2">
      <c r="A47" s="14" t="s">
        <v>289</v>
      </c>
      <c r="B47" s="14" t="s">
        <v>108</v>
      </c>
      <c r="C47" s="25">
        <v>2</v>
      </c>
      <c r="D47" s="25">
        <v>20</v>
      </c>
      <c r="E47" s="14" t="s">
        <v>147</v>
      </c>
      <c r="F47" s="14"/>
    </row>
    <row r="48" spans="1:6" ht="24" customHeight="1" x14ac:dyDescent="0.2">
      <c r="A48" s="14" t="s">
        <v>290</v>
      </c>
      <c r="B48" s="14" t="s">
        <v>108</v>
      </c>
      <c r="C48" s="25">
        <v>2</v>
      </c>
      <c r="D48" s="25">
        <v>8</v>
      </c>
      <c r="E48" s="14" t="s">
        <v>147</v>
      </c>
      <c r="F48" s="14"/>
    </row>
    <row r="49" spans="1:6" ht="24" customHeight="1" x14ac:dyDescent="0.2">
      <c r="A49" s="14" t="s">
        <v>291</v>
      </c>
      <c r="B49" s="14" t="s">
        <v>108</v>
      </c>
      <c r="C49" s="25">
        <v>2</v>
      </c>
      <c r="D49" s="25">
        <v>2</v>
      </c>
      <c r="E49" s="14" t="s">
        <v>147</v>
      </c>
      <c r="F49" s="14" t="s">
        <v>386</v>
      </c>
    </row>
    <row r="50" spans="1:6" ht="24" customHeight="1" x14ac:dyDescent="0.2">
      <c r="A50" s="14" t="s">
        <v>292</v>
      </c>
      <c r="B50" s="14" t="s">
        <v>108</v>
      </c>
      <c r="C50" s="25">
        <v>2</v>
      </c>
      <c r="D50" s="25">
        <v>35</v>
      </c>
      <c r="E50" s="14" t="s">
        <v>147</v>
      </c>
      <c r="F50" s="14"/>
    </row>
    <row r="51" spans="1:6" ht="24" customHeight="1" x14ac:dyDescent="0.2">
      <c r="A51" s="14" t="s">
        <v>293</v>
      </c>
      <c r="B51" s="14" t="s">
        <v>108</v>
      </c>
      <c r="C51" s="25">
        <v>2</v>
      </c>
      <c r="D51" s="25">
        <v>3</v>
      </c>
      <c r="E51" s="14" t="s">
        <v>147</v>
      </c>
      <c r="F51" s="14" t="s">
        <v>386</v>
      </c>
    </row>
    <row r="52" spans="1:6" ht="24" customHeight="1" x14ac:dyDescent="0.2">
      <c r="A52" s="14" t="s">
        <v>294</v>
      </c>
      <c r="B52" s="14" t="s">
        <v>108</v>
      </c>
      <c r="C52" s="25">
        <v>2</v>
      </c>
      <c r="D52" s="25">
        <v>45</v>
      </c>
      <c r="E52" s="14" t="s">
        <v>147</v>
      </c>
      <c r="F52" s="14"/>
    </row>
    <row r="53" spans="1:6" ht="24" customHeight="1" x14ac:dyDescent="0.2">
      <c r="A53" s="14" t="s">
        <v>295</v>
      </c>
      <c r="B53" s="14" t="s">
        <v>108</v>
      </c>
      <c r="C53" s="25">
        <v>2</v>
      </c>
      <c r="D53" s="25">
        <v>4</v>
      </c>
      <c r="E53" s="14" t="s">
        <v>147</v>
      </c>
      <c r="F53" s="14" t="s">
        <v>386</v>
      </c>
    </row>
    <row r="54" spans="1:6" ht="24" customHeight="1" x14ac:dyDescent="0.2">
      <c r="A54" s="14" t="s">
        <v>296</v>
      </c>
      <c r="B54" s="14" t="s">
        <v>108</v>
      </c>
      <c r="C54" s="25">
        <v>2</v>
      </c>
      <c r="D54" s="25">
        <v>5</v>
      </c>
      <c r="E54" s="14" t="s">
        <v>147</v>
      </c>
      <c r="F54" s="14" t="s">
        <v>386</v>
      </c>
    </row>
    <row r="55" spans="1:6" ht="24" customHeight="1" x14ac:dyDescent="0.2">
      <c r="A55" s="14" t="s">
        <v>297</v>
      </c>
      <c r="B55" s="14" t="s">
        <v>108</v>
      </c>
      <c r="C55" s="25">
        <v>2</v>
      </c>
      <c r="D55" s="25">
        <v>5</v>
      </c>
      <c r="E55" s="14" t="s">
        <v>147</v>
      </c>
      <c r="F55" s="14" t="s">
        <v>387</v>
      </c>
    </row>
    <row r="56" spans="1:6" ht="24" customHeight="1" x14ac:dyDescent="0.2">
      <c r="A56" s="14" t="s">
        <v>298</v>
      </c>
      <c r="B56" s="14" t="s">
        <v>108</v>
      </c>
      <c r="C56" s="25">
        <v>2</v>
      </c>
      <c r="D56" s="25">
        <v>60</v>
      </c>
      <c r="E56" s="14" t="s">
        <v>147</v>
      </c>
      <c r="F56" s="14"/>
    </row>
    <row r="57" spans="1:6" ht="24" customHeight="1" x14ac:dyDescent="0.2">
      <c r="A57" s="14" t="s">
        <v>299</v>
      </c>
      <c r="B57" s="14" t="s">
        <v>108</v>
      </c>
      <c r="C57" s="25">
        <v>2</v>
      </c>
      <c r="D57" s="25">
        <v>71</v>
      </c>
      <c r="E57" s="14" t="s">
        <v>147</v>
      </c>
      <c r="F57" s="14"/>
    </row>
    <row r="58" spans="1:6" ht="24" customHeight="1" x14ac:dyDescent="0.2">
      <c r="A58" s="14" t="s">
        <v>300</v>
      </c>
      <c r="B58" s="14" t="s">
        <v>108</v>
      </c>
      <c r="C58" s="25">
        <v>2</v>
      </c>
      <c r="D58" s="25">
        <v>7</v>
      </c>
      <c r="E58" s="14" t="s">
        <v>147</v>
      </c>
      <c r="F58" s="14" t="s">
        <v>386</v>
      </c>
    </row>
    <row r="59" spans="1:6" ht="24" customHeight="1" x14ac:dyDescent="0.2">
      <c r="A59" s="14" t="s">
        <v>301</v>
      </c>
      <c r="B59" s="14" t="s">
        <v>108</v>
      </c>
      <c r="C59" s="25">
        <v>2</v>
      </c>
      <c r="D59" s="25">
        <v>81</v>
      </c>
      <c r="E59" s="14" t="s">
        <v>147</v>
      </c>
      <c r="F59" s="14"/>
    </row>
    <row r="60" spans="1:6" ht="24" customHeight="1" x14ac:dyDescent="0.2">
      <c r="A60" s="14" t="s">
        <v>302</v>
      </c>
      <c r="B60" s="14" t="s">
        <v>108</v>
      </c>
      <c r="C60" s="25">
        <v>2</v>
      </c>
      <c r="D60" s="25">
        <v>9</v>
      </c>
      <c r="E60" s="14" t="s">
        <v>147</v>
      </c>
      <c r="F60" s="14" t="s">
        <v>386</v>
      </c>
    </row>
    <row r="61" spans="1:6" ht="24" customHeight="1" x14ac:dyDescent="0.2">
      <c r="A61" s="14" t="s">
        <v>303</v>
      </c>
      <c r="B61" s="14" t="s">
        <v>108</v>
      </c>
      <c r="C61" s="25">
        <v>3</v>
      </c>
      <c r="D61" s="25">
        <v>0</v>
      </c>
      <c r="E61" s="14" t="s">
        <v>147</v>
      </c>
      <c r="F61" s="14" t="s">
        <v>386</v>
      </c>
    </row>
    <row r="62" spans="1:6" ht="24" customHeight="1" x14ac:dyDescent="0.2">
      <c r="A62" s="14" t="s">
        <v>304</v>
      </c>
      <c r="B62" s="14" t="s">
        <v>108</v>
      </c>
      <c r="C62" s="25">
        <v>3</v>
      </c>
      <c r="D62" s="25">
        <v>0</v>
      </c>
      <c r="E62" s="14" t="s">
        <v>147</v>
      </c>
      <c r="F62" s="14" t="s">
        <v>387</v>
      </c>
    </row>
    <row r="63" spans="1:6" ht="24" customHeight="1" x14ac:dyDescent="0.2">
      <c r="A63" s="14" t="s">
        <v>305</v>
      </c>
      <c r="B63" s="14" t="s">
        <v>108</v>
      </c>
      <c r="C63" s="25">
        <v>3</v>
      </c>
      <c r="D63" s="25">
        <v>12</v>
      </c>
      <c r="E63" s="14" t="s">
        <v>147</v>
      </c>
      <c r="F63" s="14" t="s">
        <v>386</v>
      </c>
    </row>
    <row r="64" spans="1:6" ht="24" customHeight="1" x14ac:dyDescent="0.2">
      <c r="A64" s="14" t="s">
        <v>306</v>
      </c>
      <c r="B64" s="14" t="s">
        <v>108</v>
      </c>
      <c r="C64" s="25">
        <v>3</v>
      </c>
      <c r="D64" s="25">
        <v>1</v>
      </c>
      <c r="E64" s="14" t="s">
        <v>147</v>
      </c>
      <c r="F64" s="14" t="s">
        <v>386</v>
      </c>
    </row>
    <row r="65" spans="1:6" ht="24" customHeight="1" x14ac:dyDescent="0.2">
      <c r="A65" s="14" t="s">
        <v>307</v>
      </c>
      <c r="B65" s="14" t="s">
        <v>108</v>
      </c>
      <c r="C65" s="25">
        <v>3</v>
      </c>
      <c r="D65" s="25">
        <v>1</v>
      </c>
      <c r="E65" s="14" t="s">
        <v>147</v>
      </c>
      <c r="F65" s="14" t="s">
        <v>387</v>
      </c>
    </row>
    <row r="66" spans="1:6" ht="24" customHeight="1" x14ac:dyDescent="0.2">
      <c r="A66" s="14" t="s">
        <v>308</v>
      </c>
      <c r="B66" s="14" t="s">
        <v>108</v>
      </c>
      <c r="C66" s="25">
        <v>3</v>
      </c>
      <c r="D66" s="25">
        <v>20</v>
      </c>
      <c r="E66" s="14" t="s">
        <v>147</v>
      </c>
      <c r="F66" s="14"/>
    </row>
    <row r="67" spans="1:6" ht="24" customHeight="1" x14ac:dyDescent="0.2">
      <c r="A67" s="14" t="s">
        <v>309</v>
      </c>
      <c r="B67" s="14" t="s">
        <v>108</v>
      </c>
      <c r="C67" s="25">
        <v>3</v>
      </c>
      <c r="D67" s="25">
        <v>8</v>
      </c>
      <c r="E67" s="14" t="s">
        <v>147</v>
      </c>
      <c r="F67" s="14"/>
    </row>
    <row r="68" spans="1:6" ht="24" customHeight="1" x14ac:dyDescent="0.2">
      <c r="A68" s="14" t="s">
        <v>310</v>
      </c>
      <c r="B68" s="14" t="s">
        <v>108</v>
      </c>
      <c r="C68" s="25">
        <v>3</v>
      </c>
      <c r="D68" s="25">
        <v>2</v>
      </c>
      <c r="E68" s="14" t="s">
        <v>147</v>
      </c>
      <c r="F68" s="14" t="s">
        <v>386</v>
      </c>
    </row>
    <row r="69" spans="1:6" ht="24" customHeight="1" x14ac:dyDescent="0.2">
      <c r="A69" s="14" t="s">
        <v>311</v>
      </c>
      <c r="B69" s="14" t="s">
        <v>108</v>
      </c>
      <c r="C69" s="25">
        <v>3</v>
      </c>
      <c r="D69" s="25">
        <v>35</v>
      </c>
      <c r="E69" s="14" t="s">
        <v>147</v>
      </c>
      <c r="F69" s="14"/>
    </row>
    <row r="70" spans="1:6" ht="24" customHeight="1" x14ac:dyDescent="0.2">
      <c r="A70" s="14" t="s">
        <v>312</v>
      </c>
      <c r="B70" s="14" t="s">
        <v>108</v>
      </c>
      <c r="C70" s="25">
        <v>3</v>
      </c>
      <c r="D70" s="25">
        <v>3</v>
      </c>
      <c r="E70" s="14" t="s">
        <v>147</v>
      </c>
      <c r="F70" s="14" t="s">
        <v>386</v>
      </c>
    </row>
    <row r="71" spans="1:6" ht="24" customHeight="1" x14ac:dyDescent="0.2">
      <c r="A71" s="14" t="s">
        <v>313</v>
      </c>
      <c r="B71" s="14" t="s">
        <v>108</v>
      </c>
      <c r="C71" s="25">
        <v>3</v>
      </c>
      <c r="D71" s="25">
        <v>45</v>
      </c>
      <c r="E71" s="14" t="s">
        <v>147</v>
      </c>
      <c r="F71" s="14"/>
    </row>
    <row r="72" spans="1:6" ht="24" customHeight="1" x14ac:dyDescent="0.2">
      <c r="A72" s="14" t="s">
        <v>314</v>
      </c>
      <c r="B72" s="14" t="s">
        <v>108</v>
      </c>
      <c r="C72" s="25">
        <v>3</v>
      </c>
      <c r="D72" s="25">
        <v>4</v>
      </c>
      <c r="E72" s="14" t="s">
        <v>147</v>
      </c>
      <c r="F72" s="14" t="s">
        <v>386</v>
      </c>
    </row>
    <row r="73" spans="1:6" ht="24" customHeight="1" x14ac:dyDescent="0.2">
      <c r="A73" s="14" t="s">
        <v>315</v>
      </c>
      <c r="B73" s="14" t="s">
        <v>108</v>
      </c>
      <c r="C73" s="25">
        <v>3</v>
      </c>
      <c r="D73" s="25">
        <v>5</v>
      </c>
      <c r="E73" s="14" t="s">
        <v>147</v>
      </c>
      <c r="F73" s="14" t="s">
        <v>386</v>
      </c>
    </row>
    <row r="74" spans="1:6" ht="24" customHeight="1" x14ac:dyDescent="0.2">
      <c r="A74" s="14" t="s">
        <v>316</v>
      </c>
      <c r="B74" s="14" t="s">
        <v>108</v>
      </c>
      <c r="C74" s="25">
        <v>3</v>
      </c>
      <c r="D74" s="25">
        <v>5</v>
      </c>
      <c r="E74" s="14" t="s">
        <v>147</v>
      </c>
      <c r="F74" s="14" t="s">
        <v>387</v>
      </c>
    </row>
    <row r="75" spans="1:6" ht="24" customHeight="1" x14ac:dyDescent="0.2">
      <c r="A75" s="14" t="s">
        <v>317</v>
      </c>
      <c r="B75" s="14" t="s">
        <v>108</v>
      </c>
      <c r="C75" s="25">
        <v>3</v>
      </c>
      <c r="D75" s="25">
        <v>60</v>
      </c>
      <c r="E75" s="14" t="s">
        <v>147</v>
      </c>
      <c r="F75" s="14"/>
    </row>
    <row r="76" spans="1:6" ht="24" customHeight="1" x14ac:dyDescent="0.2">
      <c r="A76" s="14" t="s">
        <v>318</v>
      </c>
      <c r="B76" s="14" t="s">
        <v>108</v>
      </c>
      <c r="C76" s="25">
        <v>3</v>
      </c>
      <c r="D76" s="25">
        <v>71</v>
      </c>
      <c r="E76" s="14" t="s">
        <v>147</v>
      </c>
      <c r="F76" s="14"/>
    </row>
    <row r="77" spans="1:6" ht="24" customHeight="1" x14ac:dyDescent="0.2">
      <c r="A77" s="14" t="s">
        <v>319</v>
      </c>
      <c r="B77" s="14" t="s">
        <v>108</v>
      </c>
      <c r="C77" s="25">
        <v>3</v>
      </c>
      <c r="D77" s="25">
        <v>7</v>
      </c>
      <c r="E77" s="14" t="s">
        <v>147</v>
      </c>
      <c r="F77" s="14" t="s">
        <v>386</v>
      </c>
    </row>
    <row r="78" spans="1:6" ht="24" customHeight="1" x14ac:dyDescent="0.2">
      <c r="A78" s="14" t="s">
        <v>320</v>
      </c>
      <c r="B78" s="14" t="s">
        <v>108</v>
      </c>
      <c r="C78" s="25">
        <v>3</v>
      </c>
      <c r="D78" s="25">
        <v>81</v>
      </c>
      <c r="E78" s="14" t="s">
        <v>147</v>
      </c>
      <c r="F78" s="14"/>
    </row>
    <row r="79" spans="1:6" ht="24" customHeight="1" x14ac:dyDescent="0.2">
      <c r="A79" s="14" t="s">
        <v>321</v>
      </c>
      <c r="B79" s="14" t="s">
        <v>108</v>
      </c>
      <c r="C79" s="25">
        <v>3</v>
      </c>
      <c r="D79" s="25">
        <v>9</v>
      </c>
      <c r="E79" s="14" t="s">
        <v>147</v>
      </c>
      <c r="F79" s="14" t="s">
        <v>386</v>
      </c>
    </row>
    <row r="80" spans="1:6" ht="24" customHeight="1" x14ac:dyDescent="0.2">
      <c r="A80" s="14" t="s">
        <v>322</v>
      </c>
      <c r="B80" s="14" t="s">
        <v>108</v>
      </c>
      <c r="C80" s="25">
        <v>4</v>
      </c>
      <c r="D80" s="25">
        <v>0</v>
      </c>
      <c r="E80" s="14" t="s">
        <v>147</v>
      </c>
      <c r="F80" s="14" t="s">
        <v>386</v>
      </c>
    </row>
    <row r="81" spans="1:6" ht="24" customHeight="1" x14ac:dyDescent="0.2">
      <c r="A81" s="14" t="s">
        <v>323</v>
      </c>
      <c r="B81" s="14" t="s">
        <v>108</v>
      </c>
      <c r="C81" s="25">
        <v>4</v>
      </c>
      <c r="D81" s="25">
        <v>0</v>
      </c>
      <c r="E81" s="14" t="s">
        <v>147</v>
      </c>
      <c r="F81" s="14" t="s">
        <v>387</v>
      </c>
    </row>
    <row r="82" spans="1:6" ht="24" customHeight="1" x14ac:dyDescent="0.2">
      <c r="A82" s="14" t="s">
        <v>324</v>
      </c>
      <c r="B82" s="14" t="s">
        <v>108</v>
      </c>
      <c r="C82" s="25">
        <v>4</v>
      </c>
      <c r="D82" s="25">
        <v>12</v>
      </c>
      <c r="E82" s="14" t="s">
        <v>147</v>
      </c>
      <c r="F82" s="14" t="s">
        <v>386</v>
      </c>
    </row>
    <row r="83" spans="1:6" ht="24" customHeight="1" x14ac:dyDescent="0.2">
      <c r="A83" s="14" t="s">
        <v>325</v>
      </c>
      <c r="B83" s="14" t="s">
        <v>108</v>
      </c>
      <c r="C83" s="25">
        <v>4</v>
      </c>
      <c r="D83" s="25">
        <v>1</v>
      </c>
      <c r="E83" s="14" t="s">
        <v>147</v>
      </c>
      <c r="F83" s="14" t="s">
        <v>386</v>
      </c>
    </row>
    <row r="84" spans="1:6" ht="24" customHeight="1" x14ac:dyDescent="0.2">
      <c r="A84" s="14" t="s">
        <v>326</v>
      </c>
      <c r="B84" s="14" t="s">
        <v>108</v>
      </c>
      <c r="C84" s="25">
        <v>4</v>
      </c>
      <c r="D84" s="25">
        <v>1</v>
      </c>
      <c r="E84" s="14" t="s">
        <v>147</v>
      </c>
      <c r="F84" s="14" t="s">
        <v>387</v>
      </c>
    </row>
    <row r="85" spans="1:6" ht="24" customHeight="1" x14ac:dyDescent="0.2">
      <c r="A85" s="14" t="s">
        <v>327</v>
      </c>
      <c r="B85" s="14" t="s">
        <v>108</v>
      </c>
      <c r="C85" s="25">
        <v>4</v>
      </c>
      <c r="D85" s="25">
        <v>20</v>
      </c>
      <c r="E85" s="14" t="s">
        <v>147</v>
      </c>
      <c r="F85" s="14"/>
    </row>
    <row r="86" spans="1:6" ht="24" customHeight="1" x14ac:dyDescent="0.2">
      <c r="A86" s="14" t="s">
        <v>328</v>
      </c>
      <c r="B86" s="14" t="s">
        <v>108</v>
      </c>
      <c r="C86" s="25">
        <v>4</v>
      </c>
      <c r="D86" s="25">
        <v>8</v>
      </c>
      <c r="E86" s="14" t="s">
        <v>147</v>
      </c>
      <c r="F86" s="14"/>
    </row>
    <row r="87" spans="1:6" ht="24" customHeight="1" x14ac:dyDescent="0.2">
      <c r="A87" s="14" t="s">
        <v>329</v>
      </c>
      <c r="B87" s="14" t="s">
        <v>108</v>
      </c>
      <c r="C87" s="25">
        <v>4</v>
      </c>
      <c r="D87" s="25">
        <v>2</v>
      </c>
      <c r="E87" s="14" t="s">
        <v>147</v>
      </c>
      <c r="F87" s="14" t="s">
        <v>386</v>
      </c>
    </row>
    <row r="88" spans="1:6" ht="24" customHeight="1" x14ac:dyDescent="0.2">
      <c r="A88" s="14" t="s">
        <v>330</v>
      </c>
      <c r="B88" s="14" t="s">
        <v>108</v>
      </c>
      <c r="C88" s="25">
        <v>4</v>
      </c>
      <c r="D88" s="25">
        <v>35</v>
      </c>
      <c r="E88" s="14" t="s">
        <v>147</v>
      </c>
      <c r="F88" s="14"/>
    </row>
    <row r="89" spans="1:6" ht="24" customHeight="1" x14ac:dyDescent="0.2">
      <c r="A89" s="14" t="s">
        <v>331</v>
      </c>
      <c r="B89" s="14" t="s">
        <v>108</v>
      </c>
      <c r="C89" s="25">
        <v>4</v>
      </c>
      <c r="D89" s="25">
        <v>3</v>
      </c>
      <c r="E89" s="14" t="s">
        <v>147</v>
      </c>
      <c r="F89" s="14" t="s">
        <v>386</v>
      </c>
    </row>
    <row r="90" spans="1:6" ht="24" customHeight="1" x14ac:dyDescent="0.2">
      <c r="A90" s="14" t="s">
        <v>332</v>
      </c>
      <c r="B90" s="14" t="s">
        <v>108</v>
      </c>
      <c r="C90" s="25">
        <v>4</v>
      </c>
      <c r="D90" s="25">
        <v>45</v>
      </c>
      <c r="E90" s="14" t="s">
        <v>147</v>
      </c>
      <c r="F90" s="14"/>
    </row>
    <row r="91" spans="1:6" ht="24" customHeight="1" x14ac:dyDescent="0.2">
      <c r="A91" s="14" t="s">
        <v>333</v>
      </c>
      <c r="B91" s="14" t="s">
        <v>108</v>
      </c>
      <c r="C91" s="25">
        <v>4</v>
      </c>
      <c r="D91" s="25">
        <v>4</v>
      </c>
      <c r="E91" s="14" t="s">
        <v>147</v>
      </c>
      <c r="F91" s="14" t="s">
        <v>386</v>
      </c>
    </row>
    <row r="92" spans="1:6" ht="24" customHeight="1" x14ac:dyDescent="0.2">
      <c r="A92" s="14" t="s">
        <v>334</v>
      </c>
      <c r="B92" s="14" t="s">
        <v>108</v>
      </c>
      <c r="C92" s="25">
        <v>4</v>
      </c>
      <c r="D92" s="25">
        <v>5</v>
      </c>
      <c r="E92" s="14" t="s">
        <v>147</v>
      </c>
      <c r="F92" s="14" t="s">
        <v>386</v>
      </c>
    </row>
    <row r="93" spans="1:6" ht="24" customHeight="1" x14ac:dyDescent="0.2">
      <c r="A93" s="14" t="s">
        <v>335</v>
      </c>
      <c r="B93" s="14" t="s">
        <v>108</v>
      </c>
      <c r="C93" s="25">
        <v>4</v>
      </c>
      <c r="D93" s="25">
        <v>5</v>
      </c>
      <c r="E93" s="14" t="s">
        <v>147</v>
      </c>
      <c r="F93" s="14" t="s">
        <v>387</v>
      </c>
    </row>
    <row r="94" spans="1:6" ht="24" customHeight="1" x14ac:dyDescent="0.2">
      <c r="A94" s="14" t="s">
        <v>336</v>
      </c>
      <c r="B94" s="14" t="s">
        <v>108</v>
      </c>
      <c r="C94" s="25">
        <v>4</v>
      </c>
      <c r="D94" s="25">
        <v>60</v>
      </c>
      <c r="E94" s="14" t="s">
        <v>147</v>
      </c>
      <c r="F94" s="14"/>
    </row>
    <row r="95" spans="1:6" ht="24" customHeight="1" x14ac:dyDescent="0.2">
      <c r="A95" s="14" t="s">
        <v>337</v>
      </c>
      <c r="B95" s="14" t="s">
        <v>108</v>
      </c>
      <c r="C95" s="25">
        <v>4</v>
      </c>
      <c r="D95" s="25">
        <v>71</v>
      </c>
      <c r="E95" s="14" t="s">
        <v>147</v>
      </c>
      <c r="F95" s="14"/>
    </row>
    <row r="96" spans="1:6" ht="24" customHeight="1" x14ac:dyDescent="0.2">
      <c r="A96" s="14" t="s">
        <v>338</v>
      </c>
      <c r="B96" s="14" t="s">
        <v>108</v>
      </c>
      <c r="C96" s="25">
        <v>4</v>
      </c>
      <c r="D96" s="25">
        <v>7</v>
      </c>
      <c r="E96" s="14" t="s">
        <v>147</v>
      </c>
      <c r="F96" s="14" t="s">
        <v>386</v>
      </c>
    </row>
    <row r="97" spans="1:6" ht="24" customHeight="1" x14ac:dyDescent="0.2">
      <c r="A97" s="14" t="s">
        <v>339</v>
      </c>
      <c r="B97" s="14" t="s">
        <v>108</v>
      </c>
      <c r="C97" s="25">
        <v>4</v>
      </c>
      <c r="D97" s="25">
        <v>81</v>
      </c>
      <c r="E97" s="14" t="s">
        <v>147</v>
      </c>
      <c r="F97" s="14"/>
    </row>
    <row r="98" spans="1:6" ht="24" customHeight="1" x14ac:dyDescent="0.2">
      <c r="A98" s="14" t="s">
        <v>340</v>
      </c>
      <c r="B98" s="14" t="s">
        <v>108</v>
      </c>
      <c r="C98" s="25">
        <v>4</v>
      </c>
      <c r="D98" s="25">
        <v>9</v>
      </c>
      <c r="E98" s="14" t="s">
        <v>147</v>
      </c>
      <c r="F98" s="14" t="s">
        <v>386</v>
      </c>
    </row>
    <row r="99" spans="1:6" x14ac:dyDescent="0.2">
      <c r="A99" s="6"/>
    </row>
  </sheetData>
  <sortState xmlns:xlrd2="http://schemas.microsoft.com/office/spreadsheetml/2017/richdata2" ref="A22:G41">
    <sortCondition ref="A22:A41"/>
  </sortState>
  <mergeCells count="11">
    <mergeCell ref="A20:F20"/>
    <mergeCell ref="B22:F22"/>
    <mergeCell ref="AJ13:AJ18"/>
    <mergeCell ref="AJ11:AJ12"/>
    <mergeCell ref="F1:AI1"/>
    <mergeCell ref="AJ3:AJ10"/>
    <mergeCell ref="A1:A2"/>
    <mergeCell ref="B1:B2"/>
    <mergeCell ref="C1:C2"/>
    <mergeCell ref="D1:D2"/>
    <mergeCell ref="E1:E2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A08B4-53DA-F24E-9290-C4E6622BCE01}">
  <dimension ref="A1:L41"/>
  <sheetViews>
    <sheetView workbookViewId="0">
      <selection activeCell="A7" sqref="A7:A11"/>
    </sheetView>
  </sheetViews>
  <sheetFormatPr baseColWidth="10" defaultRowHeight="16" x14ac:dyDescent="0.2"/>
  <cols>
    <col min="1" max="1" width="12.1640625" customWidth="1"/>
    <col min="2" max="2" width="11.5" customWidth="1"/>
    <col min="3" max="3" width="11" customWidth="1"/>
    <col min="4" max="4" width="18.1640625" customWidth="1"/>
    <col min="5" max="5" width="18.83203125" bestFit="1" customWidth="1"/>
    <col min="7" max="7" width="20" customWidth="1"/>
    <col min="8" max="11" width="7.5" style="3" customWidth="1"/>
  </cols>
  <sheetData>
    <row r="1" spans="1:12" s="6" customFormat="1" ht="20" customHeight="1" x14ac:dyDescent="0.2">
      <c r="A1" s="11" t="s">
        <v>155</v>
      </c>
      <c r="B1" s="11" t="s">
        <v>122</v>
      </c>
      <c r="C1" s="11" t="s">
        <v>129</v>
      </c>
      <c r="D1" s="11" t="s">
        <v>252</v>
      </c>
      <c r="E1" s="11" t="s">
        <v>116</v>
      </c>
      <c r="G1" s="11" t="s">
        <v>116</v>
      </c>
      <c r="H1" s="13" t="s">
        <v>210</v>
      </c>
      <c r="I1" s="13"/>
      <c r="J1" s="13"/>
      <c r="K1" s="13"/>
    </row>
    <row r="2" spans="1:12" s="6" customFormat="1" ht="20" customHeight="1" x14ac:dyDescent="0.2">
      <c r="A2" s="14" t="s">
        <v>232</v>
      </c>
      <c r="B2" s="14" t="s">
        <v>108</v>
      </c>
      <c r="C2" s="14" t="s">
        <v>83</v>
      </c>
      <c r="D2" s="14" t="s">
        <v>253</v>
      </c>
      <c r="E2" s="14" t="s">
        <v>257</v>
      </c>
      <c r="G2" s="14" t="s">
        <v>257</v>
      </c>
      <c r="H2" s="12" t="s">
        <v>81</v>
      </c>
      <c r="I2" s="12" t="s">
        <v>84</v>
      </c>
      <c r="J2" s="12"/>
      <c r="K2" s="12"/>
    </row>
    <row r="3" spans="1:12" s="6" customFormat="1" ht="20" customHeight="1" x14ac:dyDescent="0.2">
      <c r="A3" s="14" t="s">
        <v>233</v>
      </c>
      <c r="B3" s="14" t="s">
        <v>108</v>
      </c>
      <c r="C3" s="14" t="s">
        <v>82</v>
      </c>
      <c r="D3" s="14" t="s">
        <v>254</v>
      </c>
      <c r="E3" s="14" t="s">
        <v>257</v>
      </c>
      <c r="G3" s="14" t="s">
        <v>259</v>
      </c>
      <c r="H3" s="12" t="s">
        <v>260</v>
      </c>
      <c r="I3" s="12" t="s">
        <v>261</v>
      </c>
      <c r="J3" s="12"/>
      <c r="K3" s="12"/>
    </row>
    <row r="4" spans="1:12" s="6" customFormat="1" ht="20" customHeight="1" x14ac:dyDescent="0.2">
      <c r="A4" s="14" t="s">
        <v>234</v>
      </c>
      <c r="B4" s="14" t="s">
        <v>108</v>
      </c>
      <c r="C4" s="14" t="s">
        <v>83</v>
      </c>
      <c r="D4" s="14" t="s">
        <v>256</v>
      </c>
      <c r="E4" s="14" t="s">
        <v>257</v>
      </c>
      <c r="G4" s="14" t="s">
        <v>258</v>
      </c>
      <c r="H4" s="12" t="s">
        <v>85</v>
      </c>
      <c r="I4" s="12" t="s">
        <v>87</v>
      </c>
      <c r="J4" s="12" t="s">
        <v>262</v>
      </c>
      <c r="K4" s="12" t="s">
        <v>263</v>
      </c>
    </row>
    <row r="5" spans="1:12" s="6" customFormat="1" ht="20" customHeight="1" x14ac:dyDescent="0.2">
      <c r="A5" s="14" t="s">
        <v>235</v>
      </c>
      <c r="B5" s="14" t="s">
        <v>108</v>
      </c>
      <c r="C5" s="14" t="s">
        <v>83</v>
      </c>
      <c r="D5" s="14" t="s">
        <v>254</v>
      </c>
      <c r="E5" s="14" t="s">
        <v>257</v>
      </c>
      <c r="G5" s="20"/>
      <c r="H5" s="22"/>
      <c r="I5" s="22"/>
      <c r="J5" s="22"/>
      <c r="K5" s="22"/>
      <c r="L5" s="21"/>
    </row>
    <row r="6" spans="1:12" s="6" customFormat="1" ht="20" customHeight="1" x14ac:dyDescent="0.2">
      <c r="A6" s="14" t="s">
        <v>236</v>
      </c>
      <c r="B6" s="14" t="s">
        <v>108</v>
      </c>
      <c r="C6" s="14" t="s">
        <v>83</v>
      </c>
      <c r="D6" s="14" t="s">
        <v>255</v>
      </c>
      <c r="E6" s="14" t="s">
        <v>257</v>
      </c>
      <c r="G6" s="24" t="s">
        <v>211</v>
      </c>
      <c r="H6" s="22"/>
      <c r="I6" s="22"/>
      <c r="J6" s="22"/>
      <c r="K6" s="22"/>
      <c r="L6" s="21"/>
    </row>
    <row r="7" spans="1:12" s="6" customFormat="1" ht="20" customHeight="1" x14ac:dyDescent="0.2">
      <c r="A7" s="14" t="s">
        <v>237</v>
      </c>
      <c r="B7" s="14" t="s">
        <v>108</v>
      </c>
      <c r="C7" s="14" t="s">
        <v>83</v>
      </c>
      <c r="D7" s="14" t="s">
        <v>253</v>
      </c>
      <c r="E7" s="14" t="s">
        <v>257</v>
      </c>
      <c r="G7" s="20" t="s">
        <v>264</v>
      </c>
      <c r="H7" s="22"/>
      <c r="I7" s="22"/>
      <c r="J7" s="22"/>
      <c r="K7" s="22"/>
      <c r="L7" s="21"/>
    </row>
    <row r="8" spans="1:12" s="6" customFormat="1" ht="20" customHeight="1" x14ac:dyDescent="0.2">
      <c r="A8" s="14" t="s">
        <v>238</v>
      </c>
      <c r="B8" s="14" t="s">
        <v>108</v>
      </c>
      <c r="C8" s="14" t="s">
        <v>82</v>
      </c>
      <c r="D8" s="14" t="s">
        <v>254</v>
      </c>
      <c r="E8" s="14" t="s">
        <v>257</v>
      </c>
      <c r="G8" s="20"/>
      <c r="H8" s="22"/>
      <c r="I8" s="22"/>
      <c r="J8" s="22"/>
      <c r="K8" s="22"/>
      <c r="L8" s="21"/>
    </row>
    <row r="9" spans="1:12" s="6" customFormat="1" ht="20" customHeight="1" x14ac:dyDescent="0.2">
      <c r="A9" s="14" t="s">
        <v>239</v>
      </c>
      <c r="B9" s="14" t="s">
        <v>108</v>
      </c>
      <c r="C9" s="14" t="s">
        <v>83</v>
      </c>
      <c r="D9" s="14" t="s">
        <v>256</v>
      </c>
      <c r="E9" s="14" t="s">
        <v>257</v>
      </c>
      <c r="G9" s="20"/>
      <c r="H9" s="22"/>
      <c r="I9" s="22"/>
      <c r="J9" s="22"/>
      <c r="K9" s="22"/>
      <c r="L9" s="21"/>
    </row>
    <row r="10" spans="1:12" s="6" customFormat="1" ht="20" customHeight="1" x14ac:dyDescent="0.2">
      <c r="A10" s="14" t="s">
        <v>240</v>
      </c>
      <c r="B10" s="14" t="s">
        <v>108</v>
      </c>
      <c r="C10" s="14" t="s">
        <v>83</v>
      </c>
      <c r="D10" s="14" t="s">
        <v>254</v>
      </c>
      <c r="E10" s="14" t="s">
        <v>257</v>
      </c>
      <c r="G10" s="20"/>
      <c r="H10" s="22"/>
      <c r="I10" s="22"/>
      <c r="J10" s="22"/>
      <c r="K10" s="22"/>
      <c r="L10" s="21"/>
    </row>
    <row r="11" spans="1:12" s="6" customFormat="1" ht="20" customHeight="1" x14ac:dyDescent="0.2">
      <c r="A11" s="14" t="s">
        <v>241</v>
      </c>
      <c r="B11" s="14" t="s">
        <v>108</v>
      </c>
      <c r="C11" s="14" t="s">
        <v>83</v>
      </c>
      <c r="D11" s="14" t="s">
        <v>255</v>
      </c>
      <c r="E11" s="14" t="s">
        <v>257</v>
      </c>
      <c r="G11" s="20"/>
      <c r="H11" s="22"/>
      <c r="I11" s="22"/>
      <c r="J11" s="22"/>
      <c r="K11" s="22"/>
      <c r="L11" s="21"/>
    </row>
    <row r="12" spans="1:12" s="6" customFormat="1" ht="20" customHeight="1" x14ac:dyDescent="0.2">
      <c r="A12" s="14" t="s">
        <v>242</v>
      </c>
      <c r="B12" s="14" t="s">
        <v>108</v>
      </c>
      <c r="C12" s="14" t="s">
        <v>83</v>
      </c>
      <c r="D12" s="14" t="s">
        <v>253</v>
      </c>
      <c r="E12" s="14" t="s">
        <v>258</v>
      </c>
      <c r="G12" s="20"/>
      <c r="H12" s="22"/>
      <c r="I12" s="22"/>
      <c r="J12" s="22"/>
      <c r="K12" s="22"/>
      <c r="L12" s="21"/>
    </row>
    <row r="13" spans="1:12" s="6" customFormat="1" ht="20" customHeight="1" x14ac:dyDescent="0.2">
      <c r="A13" s="14" t="s">
        <v>243</v>
      </c>
      <c r="B13" s="14" t="s">
        <v>108</v>
      </c>
      <c r="C13" s="14" t="s">
        <v>82</v>
      </c>
      <c r="D13" s="14" t="s">
        <v>254</v>
      </c>
      <c r="E13" s="14" t="s">
        <v>258</v>
      </c>
      <c r="G13" s="20"/>
      <c r="H13" s="22"/>
      <c r="I13" s="22"/>
      <c r="J13" s="22"/>
      <c r="K13" s="22"/>
      <c r="L13" s="21"/>
    </row>
    <row r="14" spans="1:12" s="6" customFormat="1" ht="20" customHeight="1" x14ac:dyDescent="0.2">
      <c r="A14" s="14" t="s">
        <v>244</v>
      </c>
      <c r="B14" s="14" t="s">
        <v>108</v>
      </c>
      <c r="C14" s="14" t="s">
        <v>83</v>
      </c>
      <c r="D14" s="14" t="s">
        <v>256</v>
      </c>
      <c r="E14" s="14" t="s">
        <v>258</v>
      </c>
      <c r="G14" s="21"/>
      <c r="H14" s="23"/>
      <c r="I14" s="23"/>
      <c r="J14" s="23"/>
      <c r="K14" s="23"/>
      <c r="L14" s="21"/>
    </row>
    <row r="15" spans="1:12" s="6" customFormat="1" ht="20" customHeight="1" x14ac:dyDescent="0.2">
      <c r="A15" s="14" t="s">
        <v>245</v>
      </c>
      <c r="B15" s="14" t="s">
        <v>108</v>
      </c>
      <c r="C15" s="14" t="s">
        <v>83</v>
      </c>
      <c r="D15" s="14" t="s">
        <v>254</v>
      </c>
      <c r="E15" s="14" t="s">
        <v>258</v>
      </c>
      <c r="H15" s="3"/>
      <c r="I15" s="3"/>
      <c r="J15" s="3"/>
      <c r="K15" s="3"/>
    </row>
    <row r="16" spans="1:12" s="6" customFormat="1" ht="20" customHeight="1" x14ac:dyDescent="0.2">
      <c r="A16" s="14" t="s">
        <v>246</v>
      </c>
      <c r="B16" s="14" t="s">
        <v>108</v>
      </c>
      <c r="C16" s="14" t="s">
        <v>83</v>
      </c>
      <c r="D16" s="14" t="s">
        <v>255</v>
      </c>
      <c r="E16" s="14" t="s">
        <v>258</v>
      </c>
      <c r="H16" s="3"/>
      <c r="I16" s="3"/>
      <c r="J16" s="3"/>
      <c r="K16" s="3"/>
    </row>
    <row r="17" spans="1:11" s="6" customFormat="1" ht="20" customHeight="1" x14ac:dyDescent="0.2">
      <c r="A17" s="14" t="s">
        <v>247</v>
      </c>
      <c r="B17" s="14" t="s">
        <v>108</v>
      </c>
      <c r="C17" s="14" t="s">
        <v>83</v>
      </c>
      <c r="D17" s="14" t="s">
        <v>253</v>
      </c>
      <c r="E17" s="14" t="s">
        <v>258</v>
      </c>
      <c r="H17" s="3"/>
      <c r="I17" s="3"/>
      <c r="J17" s="3"/>
      <c r="K17" s="3"/>
    </row>
    <row r="18" spans="1:11" s="6" customFormat="1" ht="20" customHeight="1" x14ac:dyDescent="0.2">
      <c r="A18" s="14" t="s">
        <v>248</v>
      </c>
      <c r="B18" s="14" t="s">
        <v>108</v>
      </c>
      <c r="C18" s="14" t="s">
        <v>82</v>
      </c>
      <c r="D18" s="14" t="s">
        <v>254</v>
      </c>
      <c r="E18" s="14" t="s">
        <v>258</v>
      </c>
      <c r="H18" s="3"/>
      <c r="I18" s="3"/>
      <c r="J18" s="3"/>
      <c r="K18" s="3"/>
    </row>
    <row r="19" spans="1:11" s="6" customFormat="1" ht="20" customHeight="1" x14ac:dyDescent="0.2">
      <c r="A19" s="14" t="s">
        <v>249</v>
      </c>
      <c r="B19" s="14" t="s">
        <v>108</v>
      </c>
      <c r="C19" s="14" t="s">
        <v>83</v>
      </c>
      <c r="D19" s="14" t="s">
        <v>256</v>
      </c>
      <c r="E19" s="14" t="s">
        <v>258</v>
      </c>
      <c r="H19" s="3"/>
      <c r="I19" s="3"/>
      <c r="J19" s="3"/>
      <c r="K19" s="3"/>
    </row>
    <row r="20" spans="1:11" s="6" customFormat="1" ht="20" customHeight="1" x14ac:dyDescent="0.2">
      <c r="A20" s="14" t="s">
        <v>250</v>
      </c>
      <c r="B20" s="14" t="s">
        <v>108</v>
      </c>
      <c r="C20" s="14" t="s">
        <v>83</v>
      </c>
      <c r="D20" s="14" t="s">
        <v>254</v>
      </c>
      <c r="E20" s="14" t="s">
        <v>258</v>
      </c>
      <c r="H20" s="3"/>
      <c r="I20" s="3"/>
      <c r="J20" s="3"/>
      <c r="K20" s="3"/>
    </row>
    <row r="21" spans="1:11" s="6" customFormat="1" ht="20" customHeight="1" x14ac:dyDescent="0.2">
      <c r="A21" s="14" t="s">
        <v>251</v>
      </c>
      <c r="B21" s="14" t="s">
        <v>108</v>
      </c>
      <c r="C21" s="14" t="s">
        <v>83</v>
      </c>
      <c r="D21" s="14" t="s">
        <v>255</v>
      </c>
      <c r="E21" s="14" t="s">
        <v>258</v>
      </c>
      <c r="H21" s="3"/>
      <c r="I21" s="3"/>
      <c r="J21" s="3"/>
      <c r="K21" s="3"/>
    </row>
    <row r="22" spans="1:11" s="6" customFormat="1" ht="20" customHeight="1" x14ac:dyDescent="0.2">
      <c r="A22" s="14" t="s">
        <v>212</v>
      </c>
      <c r="B22" s="14" t="s">
        <v>124</v>
      </c>
      <c r="C22" s="14" t="s">
        <v>83</v>
      </c>
      <c r="D22" s="14" t="s">
        <v>253</v>
      </c>
      <c r="E22" s="14" t="s">
        <v>259</v>
      </c>
      <c r="H22" s="3"/>
      <c r="I22" s="3"/>
      <c r="J22" s="3"/>
      <c r="K22" s="3"/>
    </row>
    <row r="23" spans="1:11" s="6" customFormat="1" ht="20" customHeight="1" x14ac:dyDescent="0.2">
      <c r="A23" s="14" t="s">
        <v>213</v>
      </c>
      <c r="B23" s="14" t="s">
        <v>124</v>
      </c>
      <c r="C23" s="14" t="s">
        <v>82</v>
      </c>
      <c r="D23" s="14" t="s">
        <v>254</v>
      </c>
      <c r="E23" s="14" t="s">
        <v>259</v>
      </c>
      <c r="H23" s="3"/>
      <c r="I23" s="3"/>
      <c r="J23" s="3"/>
      <c r="K23" s="3"/>
    </row>
    <row r="24" spans="1:11" s="6" customFormat="1" ht="20" customHeight="1" x14ac:dyDescent="0.2">
      <c r="A24" s="14" t="s">
        <v>214</v>
      </c>
      <c r="B24" s="14" t="s">
        <v>124</v>
      </c>
      <c r="C24" s="14" t="s">
        <v>83</v>
      </c>
      <c r="D24" s="14" t="s">
        <v>256</v>
      </c>
      <c r="E24" s="14" t="s">
        <v>259</v>
      </c>
      <c r="H24" s="3"/>
      <c r="I24" s="3"/>
      <c r="J24" s="3"/>
      <c r="K24" s="3"/>
    </row>
    <row r="25" spans="1:11" s="6" customFormat="1" ht="20" customHeight="1" x14ac:dyDescent="0.2">
      <c r="A25" s="14" t="s">
        <v>215</v>
      </c>
      <c r="B25" s="14" t="s">
        <v>124</v>
      </c>
      <c r="C25" s="14" t="s">
        <v>83</v>
      </c>
      <c r="D25" s="14" t="s">
        <v>254</v>
      </c>
      <c r="E25" s="14" t="s">
        <v>259</v>
      </c>
      <c r="H25" s="3"/>
      <c r="I25" s="3"/>
      <c r="J25" s="3"/>
      <c r="K25" s="3"/>
    </row>
    <row r="26" spans="1:11" s="6" customFormat="1" ht="20" customHeight="1" x14ac:dyDescent="0.2">
      <c r="A26" s="14" t="s">
        <v>216</v>
      </c>
      <c r="B26" s="14" t="s">
        <v>124</v>
      </c>
      <c r="C26" s="14" t="s">
        <v>83</v>
      </c>
      <c r="D26" s="14" t="s">
        <v>255</v>
      </c>
      <c r="E26" s="14" t="s">
        <v>259</v>
      </c>
      <c r="H26" s="3"/>
      <c r="I26" s="3"/>
      <c r="J26" s="3"/>
      <c r="K26" s="3"/>
    </row>
    <row r="27" spans="1:11" s="6" customFormat="1" ht="20" customHeight="1" x14ac:dyDescent="0.2">
      <c r="A27" s="14" t="s">
        <v>217</v>
      </c>
      <c r="B27" s="14" t="s">
        <v>124</v>
      </c>
      <c r="C27" s="14" t="s">
        <v>83</v>
      </c>
      <c r="D27" s="14" t="s">
        <v>253</v>
      </c>
      <c r="E27" s="14" t="s">
        <v>259</v>
      </c>
      <c r="H27" s="3"/>
      <c r="I27" s="3"/>
      <c r="J27" s="3"/>
      <c r="K27" s="3"/>
    </row>
    <row r="28" spans="1:11" s="6" customFormat="1" ht="20" customHeight="1" x14ac:dyDescent="0.2">
      <c r="A28" s="14" t="s">
        <v>218</v>
      </c>
      <c r="B28" s="14" t="s">
        <v>124</v>
      </c>
      <c r="C28" s="14" t="s">
        <v>82</v>
      </c>
      <c r="D28" s="14" t="s">
        <v>254</v>
      </c>
      <c r="E28" s="14" t="s">
        <v>259</v>
      </c>
      <c r="H28" s="3"/>
      <c r="I28" s="3"/>
      <c r="J28" s="3"/>
      <c r="K28" s="3"/>
    </row>
    <row r="29" spans="1:11" s="6" customFormat="1" ht="20" customHeight="1" x14ac:dyDescent="0.2">
      <c r="A29" s="14" t="s">
        <v>219</v>
      </c>
      <c r="B29" s="14" t="s">
        <v>124</v>
      </c>
      <c r="C29" s="14" t="s">
        <v>83</v>
      </c>
      <c r="D29" s="14" t="s">
        <v>256</v>
      </c>
      <c r="E29" s="14" t="s">
        <v>259</v>
      </c>
      <c r="H29" s="3"/>
      <c r="I29" s="3"/>
      <c r="J29" s="3"/>
      <c r="K29" s="3"/>
    </row>
    <row r="30" spans="1:11" s="6" customFormat="1" ht="20" customHeight="1" x14ac:dyDescent="0.2">
      <c r="A30" s="14" t="s">
        <v>220</v>
      </c>
      <c r="B30" s="14" t="s">
        <v>124</v>
      </c>
      <c r="C30" s="14" t="s">
        <v>83</v>
      </c>
      <c r="D30" s="14" t="s">
        <v>254</v>
      </c>
      <c r="E30" s="14" t="s">
        <v>259</v>
      </c>
      <c r="H30" s="3"/>
      <c r="I30" s="3"/>
      <c r="J30" s="3"/>
      <c r="K30" s="3"/>
    </row>
    <row r="31" spans="1:11" s="6" customFormat="1" ht="20" customHeight="1" x14ac:dyDescent="0.2">
      <c r="A31" s="14" t="s">
        <v>221</v>
      </c>
      <c r="B31" s="14" t="s">
        <v>124</v>
      </c>
      <c r="C31" s="14" t="s">
        <v>83</v>
      </c>
      <c r="D31" s="14" t="s">
        <v>255</v>
      </c>
      <c r="E31" s="14" t="s">
        <v>259</v>
      </c>
      <c r="H31" s="3"/>
      <c r="I31" s="3"/>
      <c r="J31" s="3"/>
      <c r="K31" s="3"/>
    </row>
    <row r="32" spans="1:11" s="6" customFormat="1" ht="20" customHeight="1" x14ac:dyDescent="0.2">
      <c r="A32" s="14" t="s">
        <v>222</v>
      </c>
      <c r="B32" s="14" t="s">
        <v>124</v>
      </c>
      <c r="C32" s="14" t="s">
        <v>83</v>
      </c>
      <c r="D32" s="14" t="s">
        <v>253</v>
      </c>
      <c r="E32" s="14" t="s">
        <v>258</v>
      </c>
      <c r="H32" s="3"/>
      <c r="I32" s="3"/>
      <c r="J32" s="3"/>
      <c r="K32" s="3"/>
    </row>
    <row r="33" spans="1:11" s="6" customFormat="1" ht="20" customHeight="1" x14ac:dyDescent="0.2">
      <c r="A33" s="14" t="s">
        <v>223</v>
      </c>
      <c r="B33" s="14" t="s">
        <v>124</v>
      </c>
      <c r="C33" s="14" t="s">
        <v>82</v>
      </c>
      <c r="D33" s="14" t="s">
        <v>254</v>
      </c>
      <c r="E33" s="14" t="s">
        <v>258</v>
      </c>
      <c r="H33" s="3"/>
      <c r="I33" s="3"/>
      <c r="J33" s="3"/>
      <c r="K33" s="3"/>
    </row>
    <row r="34" spans="1:11" s="6" customFormat="1" ht="20" customHeight="1" x14ac:dyDescent="0.2">
      <c r="A34" s="14" t="s">
        <v>224</v>
      </c>
      <c r="B34" s="14" t="s">
        <v>124</v>
      </c>
      <c r="C34" s="14" t="s">
        <v>83</v>
      </c>
      <c r="D34" s="14" t="s">
        <v>256</v>
      </c>
      <c r="E34" s="14" t="s">
        <v>258</v>
      </c>
      <c r="H34" s="3"/>
      <c r="I34" s="3"/>
      <c r="J34" s="3"/>
      <c r="K34" s="3"/>
    </row>
    <row r="35" spans="1:11" s="6" customFormat="1" ht="20" customHeight="1" x14ac:dyDescent="0.2">
      <c r="A35" s="14" t="s">
        <v>225</v>
      </c>
      <c r="B35" s="14" t="s">
        <v>124</v>
      </c>
      <c r="C35" s="14" t="s">
        <v>83</v>
      </c>
      <c r="D35" s="14" t="s">
        <v>254</v>
      </c>
      <c r="E35" s="14" t="s">
        <v>258</v>
      </c>
      <c r="H35" s="3"/>
      <c r="I35" s="3"/>
      <c r="J35" s="3"/>
      <c r="K35" s="3"/>
    </row>
    <row r="36" spans="1:11" s="6" customFormat="1" ht="20" customHeight="1" x14ac:dyDescent="0.2">
      <c r="A36" s="14" t="s">
        <v>226</v>
      </c>
      <c r="B36" s="14" t="s">
        <v>124</v>
      </c>
      <c r="C36" s="14" t="s">
        <v>83</v>
      </c>
      <c r="D36" s="14" t="s">
        <v>255</v>
      </c>
      <c r="E36" s="14" t="s">
        <v>258</v>
      </c>
      <c r="H36" s="3"/>
      <c r="I36" s="3"/>
      <c r="J36" s="3"/>
      <c r="K36" s="3"/>
    </row>
    <row r="37" spans="1:11" s="6" customFormat="1" ht="20" customHeight="1" x14ac:dyDescent="0.2">
      <c r="A37" s="14" t="s">
        <v>227</v>
      </c>
      <c r="B37" s="14" t="s">
        <v>124</v>
      </c>
      <c r="C37" s="14" t="s">
        <v>83</v>
      </c>
      <c r="D37" s="14" t="s">
        <v>253</v>
      </c>
      <c r="E37" s="14" t="s">
        <v>258</v>
      </c>
      <c r="H37" s="3"/>
      <c r="I37" s="3"/>
      <c r="J37" s="3"/>
      <c r="K37" s="3"/>
    </row>
    <row r="38" spans="1:11" s="6" customFormat="1" ht="20" customHeight="1" x14ac:dyDescent="0.2">
      <c r="A38" s="14" t="s">
        <v>228</v>
      </c>
      <c r="B38" s="14" t="s">
        <v>124</v>
      </c>
      <c r="C38" s="14" t="s">
        <v>82</v>
      </c>
      <c r="D38" s="14" t="s">
        <v>254</v>
      </c>
      <c r="E38" s="14" t="s">
        <v>258</v>
      </c>
      <c r="H38" s="3"/>
      <c r="I38" s="3"/>
      <c r="J38" s="3"/>
      <c r="K38" s="3"/>
    </row>
    <row r="39" spans="1:11" s="6" customFormat="1" ht="20" customHeight="1" x14ac:dyDescent="0.2">
      <c r="A39" s="14" t="s">
        <v>229</v>
      </c>
      <c r="B39" s="14" t="s">
        <v>124</v>
      </c>
      <c r="C39" s="14" t="s">
        <v>83</v>
      </c>
      <c r="D39" s="14" t="s">
        <v>256</v>
      </c>
      <c r="E39" s="14" t="s">
        <v>258</v>
      </c>
      <c r="H39" s="3"/>
      <c r="I39" s="3"/>
      <c r="J39" s="3"/>
      <c r="K39" s="3"/>
    </row>
    <row r="40" spans="1:11" s="6" customFormat="1" ht="20" customHeight="1" x14ac:dyDescent="0.2">
      <c r="A40" s="14" t="s">
        <v>230</v>
      </c>
      <c r="B40" s="14" t="s">
        <v>124</v>
      </c>
      <c r="C40" s="14" t="s">
        <v>83</v>
      </c>
      <c r="D40" s="14" t="s">
        <v>254</v>
      </c>
      <c r="E40" s="14" t="s">
        <v>258</v>
      </c>
      <c r="H40" s="3"/>
      <c r="I40" s="3"/>
      <c r="J40" s="3"/>
      <c r="K40" s="3"/>
    </row>
    <row r="41" spans="1:11" s="6" customFormat="1" ht="20" customHeight="1" x14ac:dyDescent="0.2">
      <c r="A41" s="14" t="s">
        <v>231</v>
      </c>
      <c r="B41" s="14" t="s">
        <v>124</v>
      </c>
      <c r="C41" s="14" t="s">
        <v>83</v>
      </c>
      <c r="D41" s="14" t="s">
        <v>255</v>
      </c>
      <c r="E41" s="14" t="s">
        <v>258</v>
      </c>
      <c r="H41" s="3"/>
      <c r="I41" s="3"/>
      <c r="J41" s="3"/>
      <c r="K41" s="3"/>
    </row>
  </sheetData>
  <mergeCells count="1">
    <mergeCell ref="H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6D226-A006-5244-9135-894143FF5933}">
  <dimension ref="A1:M5"/>
  <sheetViews>
    <sheetView workbookViewId="0">
      <selection activeCell="H31" sqref="H31"/>
    </sheetView>
  </sheetViews>
  <sheetFormatPr baseColWidth="10" defaultRowHeight="16" x14ac:dyDescent="0.2"/>
  <cols>
    <col min="5" max="5" width="32.33203125" bestFit="1" customWidth="1"/>
    <col min="6" max="7" width="10.6640625" bestFit="1" customWidth="1"/>
    <col min="8" max="8" width="11.83203125" bestFit="1" customWidth="1"/>
    <col min="9" max="9" width="11.83203125" customWidth="1"/>
    <col min="10" max="12" width="11.83203125" bestFit="1" customWidth="1"/>
    <col min="13" max="13" width="12.83203125" customWidth="1"/>
  </cols>
  <sheetData>
    <row r="1" spans="1:13" ht="28" customHeight="1" x14ac:dyDescent="0.2">
      <c r="A1" s="15" t="s">
        <v>116</v>
      </c>
      <c r="B1" s="15" t="s">
        <v>122</v>
      </c>
      <c r="C1" s="15" t="s">
        <v>131</v>
      </c>
      <c r="D1" s="15" t="s">
        <v>126</v>
      </c>
      <c r="E1" s="15" t="s">
        <v>149</v>
      </c>
      <c r="F1" s="15" t="s">
        <v>129</v>
      </c>
      <c r="G1" s="15"/>
      <c r="H1" s="15"/>
      <c r="I1" s="15"/>
      <c r="J1" s="15"/>
      <c r="K1" s="15"/>
      <c r="L1" s="15"/>
    </row>
    <row r="2" spans="1:13" s="4" customFormat="1" ht="31" customHeight="1" x14ac:dyDescent="0.2">
      <c r="A2" s="15"/>
      <c r="B2" s="15"/>
      <c r="C2" s="15"/>
      <c r="D2" s="15"/>
      <c r="E2" s="15"/>
      <c r="F2" s="16">
        <v>0</v>
      </c>
      <c r="G2" s="16">
        <v>5</v>
      </c>
      <c r="H2" s="16">
        <v>12</v>
      </c>
      <c r="I2" s="16">
        <v>20</v>
      </c>
      <c r="J2" s="16">
        <v>28</v>
      </c>
      <c r="K2" s="16">
        <v>35</v>
      </c>
      <c r="L2" s="16">
        <v>45</v>
      </c>
    </row>
    <row r="3" spans="1:13" s="5" customFormat="1" ht="25" customHeight="1" x14ac:dyDescent="0.2">
      <c r="A3" s="14" t="s">
        <v>380</v>
      </c>
      <c r="B3" s="14" t="s">
        <v>108</v>
      </c>
      <c r="C3" s="12" t="s">
        <v>86</v>
      </c>
      <c r="D3" s="12">
        <v>4</v>
      </c>
      <c r="E3" s="14" t="s">
        <v>383</v>
      </c>
      <c r="F3" s="14" t="str">
        <f>"DJC1Jxd"&amp;F2</f>
        <v>DJC1Jxd0</v>
      </c>
      <c r="G3" s="14" t="str">
        <f t="shared" ref="G3:L3" si="0">"DJC1Jxd"&amp;G2</f>
        <v>DJC1Jxd5</v>
      </c>
      <c r="H3" s="14" t="str">
        <f t="shared" si="0"/>
        <v>DJC1Jxd12</v>
      </c>
      <c r="I3" s="14" t="str">
        <f t="shared" si="0"/>
        <v>DJC1Jxd20</v>
      </c>
      <c r="J3" s="14" t="str">
        <f t="shared" si="0"/>
        <v>DJC1Jxd28</v>
      </c>
      <c r="K3" s="14" t="str">
        <f t="shared" si="0"/>
        <v>DJC1Jxd35</v>
      </c>
      <c r="L3" s="14" t="str">
        <f t="shared" si="0"/>
        <v>DJC1Jxd45</v>
      </c>
      <c r="M3" s="18" t="s">
        <v>135</v>
      </c>
    </row>
    <row r="4" spans="1:13" s="5" customFormat="1" ht="25" customHeight="1" x14ac:dyDescent="0.2">
      <c r="A4" s="14" t="s">
        <v>381</v>
      </c>
      <c r="B4" s="14" t="s">
        <v>108</v>
      </c>
      <c r="C4" s="12" t="s">
        <v>86</v>
      </c>
      <c r="D4" s="12">
        <v>4</v>
      </c>
      <c r="E4" s="14" t="s">
        <v>384</v>
      </c>
      <c r="F4" s="14" t="str">
        <f>"DJC2Jxd"&amp;F2</f>
        <v>DJC2Jxd0</v>
      </c>
      <c r="G4" s="14" t="str">
        <f t="shared" ref="G4:L4" si="1">"DJC2Jxd"&amp;G2</f>
        <v>DJC2Jxd5</v>
      </c>
      <c r="H4" s="14" t="str">
        <f t="shared" si="1"/>
        <v>DJC2Jxd12</v>
      </c>
      <c r="I4" s="14" t="str">
        <f t="shared" si="1"/>
        <v>DJC2Jxd20</v>
      </c>
      <c r="J4" s="14" t="str">
        <f t="shared" si="1"/>
        <v>DJC2Jxd28</v>
      </c>
      <c r="K4" s="14" t="str">
        <f t="shared" si="1"/>
        <v>DJC2Jxd35</v>
      </c>
      <c r="L4" s="14" t="str">
        <f t="shared" si="1"/>
        <v>DJC2Jxd45</v>
      </c>
      <c r="M4" s="18"/>
    </row>
    <row r="5" spans="1:13" s="5" customFormat="1" ht="25" customHeight="1" x14ac:dyDescent="0.2">
      <c r="A5" s="14" t="s">
        <v>382</v>
      </c>
      <c r="B5" s="14" t="s">
        <v>108</v>
      </c>
      <c r="C5" s="12" t="s">
        <v>86</v>
      </c>
      <c r="D5" s="12">
        <v>4</v>
      </c>
      <c r="E5" s="14" t="s">
        <v>385</v>
      </c>
      <c r="F5" s="14" t="str">
        <f>"DJC3Jxd"&amp;F2</f>
        <v>DJC3Jxd0</v>
      </c>
      <c r="G5" s="14" t="str">
        <f t="shared" ref="G5:L5" si="2">"DJC3Jxd"&amp;G2</f>
        <v>DJC3Jxd5</v>
      </c>
      <c r="H5" s="14" t="str">
        <f t="shared" si="2"/>
        <v>DJC3Jxd12</v>
      </c>
      <c r="I5" s="14" t="str">
        <f t="shared" si="2"/>
        <v>DJC3Jxd20</v>
      </c>
      <c r="J5" s="14" t="str">
        <f t="shared" si="2"/>
        <v>DJC3Jxd28</v>
      </c>
      <c r="K5" s="14" t="str">
        <f t="shared" si="2"/>
        <v>DJC3Jxd35</v>
      </c>
      <c r="L5" s="14" t="str">
        <f t="shared" si="2"/>
        <v>DJC3Jxd45</v>
      </c>
      <c r="M5" s="18"/>
    </row>
  </sheetData>
  <mergeCells count="7">
    <mergeCell ref="M3:M5"/>
    <mergeCell ref="A1:A2"/>
    <mergeCell ref="B1:B2"/>
    <mergeCell ref="C1:C2"/>
    <mergeCell ref="D1:D2"/>
    <mergeCell ref="E1:E2"/>
    <mergeCell ref="F1:L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37987-8576-AC4D-8116-810805602B99}">
  <dimension ref="A1:AJ83"/>
  <sheetViews>
    <sheetView workbookViewId="0">
      <selection activeCell="E1" sqref="E1:E2"/>
    </sheetView>
  </sheetViews>
  <sheetFormatPr baseColWidth="10" defaultRowHeight="16" x14ac:dyDescent="0.2"/>
  <cols>
    <col min="1" max="1" width="16" bestFit="1" customWidth="1"/>
    <col min="5" max="5" width="45.6640625" bestFit="1" customWidth="1"/>
    <col min="6" max="8" width="12.83203125" customWidth="1"/>
    <col min="9" max="9" width="13.5" customWidth="1"/>
  </cols>
  <sheetData>
    <row r="1" spans="1:36" ht="28" customHeight="1" x14ac:dyDescent="0.2">
      <c r="A1" s="15" t="s">
        <v>116</v>
      </c>
      <c r="B1" s="15" t="s">
        <v>122</v>
      </c>
      <c r="C1" s="15" t="s">
        <v>131</v>
      </c>
      <c r="D1" s="15" t="s">
        <v>126</v>
      </c>
      <c r="E1" s="15" t="s">
        <v>149</v>
      </c>
      <c r="F1" s="15" t="s">
        <v>129</v>
      </c>
      <c r="G1" s="15"/>
      <c r="H1" s="15"/>
    </row>
    <row r="2" spans="1:36" s="4" customFormat="1" ht="31" customHeight="1" x14ac:dyDescent="0.2">
      <c r="A2" s="15"/>
      <c r="B2" s="15"/>
      <c r="C2" s="15"/>
      <c r="D2" s="15"/>
      <c r="E2" s="15"/>
      <c r="F2" s="16">
        <v>0</v>
      </c>
      <c r="G2" s="16">
        <v>5</v>
      </c>
      <c r="H2" s="16">
        <v>10</v>
      </c>
    </row>
    <row r="3" spans="1:36" s="5" customFormat="1" ht="25" customHeight="1" x14ac:dyDescent="0.2">
      <c r="A3" s="14" t="s">
        <v>388</v>
      </c>
      <c r="B3" s="14" t="s">
        <v>108</v>
      </c>
      <c r="C3" s="12" t="s">
        <v>86</v>
      </c>
      <c r="D3" s="12">
        <v>4</v>
      </c>
      <c r="E3" s="14" t="s">
        <v>394</v>
      </c>
      <c r="F3" s="14" t="str">
        <f>"EDC1Jxd"&amp;F2</f>
        <v>EDC1Jxd0</v>
      </c>
      <c r="G3" s="14" t="str">
        <f t="shared" ref="G3:H3" si="0">"EDC1Jxd"&amp;G2</f>
        <v>EDC1Jxd5</v>
      </c>
      <c r="H3" s="14" t="str">
        <f t="shared" si="0"/>
        <v>EDC1Jxd10</v>
      </c>
      <c r="I3" s="18" t="s">
        <v>135</v>
      </c>
    </row>
    <row r="4" spans="1:36" s="5" customFormat="1" ht="25" customHeight="1" x14ac:dyDescent="0.2">
      <c r="A4" s="14" t="s">
        <v>389</v>
      </c>
      <c r="B4" s="14" t="s">
        <v>108</v>
      </c>
      <c r="C4" s="12" t="s">
        <v>86</v>
      </c>
      <c r="D4" s="12">
        <v>4</v>
      </c>
      <c r="E4" s="14" t="s">
        <v>395</v>
      </c>
      <c r="F4" s="14" t="str">
        <f>"EDC2Jxd"&amp;F2</f>
        <v>EDC2Jxd0</v>
      </c>
      <c r="G4" s="14" t="str">
        <f t="shared" ref="G4:H4" si="1">"EDC2Jxd"&amp;G2</f>
        <v>EDC2Jxd5</v>
      </c>
      <c r="H4" s="14" t="str">
        <f t="shared" si="1"/>
        <v>EDC2Jxd10</v>
      </c>
      <c r="I4" s="18"/>
    </row>
    <row r="5" spans="1:36" s="5" customFormat="1" ht="25" customHeight="1" x14ac:dyDescent="0.2">
      <c r="A5" s="14" t="s">
        <v>390</v>
      </c>
      <c r="B5" s="14" t="s">
        <v>108</v>
      </c>
      <c r="C5" s="12" t="s">
        <v>86</v>
      </c>
      <c r="D5" s="12">
        <v>4</v>
      </c>
      <c r="E5" s="14" t="s">
        <v>397</v>
      </c>
      <c r="F5" s="14" t="str">
        <f>"EDC3Jxd"&amp;F2</f>
        <v>EDC3Jxd0</v>
      </c>
      <c r="G5" s="14" t="str">
        <f t="shared" ref="G5:H5" si="2">"EDC3Jxd"&amp;G2</f>
        <v>EDC3Jxd5</v>
      </c>
      <c r="H5" s="14" t="str">
        <f t="shared" si="2"/>
        <v>EDC3Jxd10</v>
      </c>
      <c r="I5" s="18"/>
    </row>
    <row r="6" spans="1:36" ht="50" customHeight="1" x14ac:dyDescent="0.2">
      <c r="A6" s="14" t="s">
        <v>391</v>
      </c>
      <c r="B6" s="14" t="s">
        <v>108</v>
      </c>
      <c r="C6" s="12" t="s">
        <v>86</v>
      </c>
      <c r="D6" s="12">
        <v>4</v>
      </c>
      <c r="E6" s="17" t="s">
        <v>399</v>
      </c>
      <c r="F6" s="14" t="str">
        <f>"EDC4Jxd"&amp;F2</f>
        <v>EDC4Jxd0</v>
      </c>
      <c r="G6" s="14" t="str">
        <f t="shared" ref="G6:H6" si="3">"EDC4Jxd"&amp;G2</f>
        <v>EDC4Jxd5</v>
      </c>
      <c r="H6" s="14" t="str">
        <f t="shared" si="3"/>
        <v>EDC4Jxd10</v>
      </c>
      <c r="I6" s="18"/>
    </row>
    <row r="7" spans="1:36" ht="25" customHeight="1" x14ac:dyDescent="0.2">
      <c r="A7" s="14" t="s">
        <v>392</v>
      </c>
      <c r="B7" s="14" t="s">
        <v>108</v>
      </c>
      <c r="C7" s="12" t="s">
        <v>86</v>
      </c>
      <c r="D7" s="12">
        <v>4</v>
      </c>
      <c r="E7" s="27" t="s">
        <v>398</v>
      </c>
      <c r="F7" s="14" t="str">
        <f>"EDC5Jxd"&amp;F2</f>
        <v>EDC5Jxd0</v>
      </c>
      <c r="G7" s="14" t="str">
        <f t="shared" ref="G7:H7" si="4">"EDC5Jxd"&amp;G2</f>
        <v>EDC5Jxd5</v>
      </c>
      <c r="H7" s="14" t="str">
        <f t="shared" si="4"/>
        <v>EDC5Jxd10</v>
      </c>
      <c r="I7" s="18"/>
    </row>
    <row r="8" spans="1:36" ht="49" customHeight="1" x14ac:dyDescent="0.2">
      <c r="A8" s="14" t="s">
        <v>393</v>
      </c>
      <c r="B8" s="14" t="s">
        <v>108</v>
      </c>
      <c r="C8" s="12" t="s">
        <v>86</v>
      </c>
      <c r="D8" s="12">
        <v>4</v>
      </c>
      <c r="E8" s="31" t="s">
        <v>400</v>
      </c>
      <c r="F8" s="14" t="str">
        <f>"EDC6Jxd"&amp;F2</f>
        <v>EDC6Jxd0</v>
      </c>
      <c r="G8" s="14" t="str">
        <f t="shared" ref="G8:H8" si="5">"EDC6Jxd"&amp;G2</f>
        <v>EDC6Jxd5</v>
      </c>
      <c r="H8" s="14" t="str">
        <f t="shared" si="5"/>
        <v>EDC6Jxd10</v>
      </c>
      <c r="I8" s="18"/>
    </row>
    <row r="9" spans="1:36" ht="33" customHeight="1" x14ac:dyDescent="0.2">
      <c r="A9" s="19"/>
      <c r="B9" s="19"/>
      <c r="C9" s="19"/>
      <c r="D9" s="19"/>
      <c r="E9" s="19"/>
      <c r="F9" s="19"/>
    </row>
    <row r="10" spans="1:36" s="2" customFormat="1" ht="29" customHeight="1" x14ac:dyDescent="0.2">
      <c r="A10" s="13" t="s">
        <v>154</v>
      </c>
      <c r="B10" s="13"/>
      <c r="C10" s="13"/>
      <c r="D10" s="13"/>
      <c r="E10" s="13"/>
      <c r="F10" s="29"/>
      <c r="G10" s="5"/>
      <c r="H10" s="5"/>
      <c r="I10" s="5"/>
      <c r="J10" s="5"/>
      <c r="K10" s="5"/>
      <c r="AJ10"/>
    </row>
    <row r="11" spans="1:36" ht="29" customHeight="1" x14ac:dyDescent="0.2">
      <c r="A11" s="11" t="s">
        <v>155</v>
      </c>
      <c r="B11" s="13" t="s">
        <v>156</v>
      </c>
      <c r="C11" s="13"/>
      <c r="D11" s="13"/>
      <c r="E11" s="13"/>
      <c r="F11" s="29"/>
      <c r="G11" s="6"/>
      <c r="H11" s="6"/>
      <c r="I11" s="6"/>
      <c r="J11" s="6"/>
      <c r="K11" s="6"/>
    </row>
    <row r="12" spans="1:36" ht="24" customHeight="1" x14ac:dyDescent="0.2">
      <c r="A12" s="14" t="s">
        <v>345</v>
      </c>
      <c r="B12" s="10" t="s">
        <v>396</v>
      </c>
      <c r="C12" s="10"/>
      <c r="D12" s="10"/>
      <c r="E12" s="10"/>
      <c r="F12" s="20"/>
      <c r="G12" s="6"/>
      <c r="H12" s="6"/>
      <c r="I12" s="6"/>
      <c r="J12" s="6"/>
      <c r="K12" s="6"/>
    </row>
    <row r="13" spans="1:36" x14ac:dyDescent="0.2">
      <c r="A13" s="19"/>
      <c r="B13" s="30"/>
      <c r="C13" s="19"/>
      <c r="D13" s="19"/>
      <c r="E13" s="19"/>
      <c r="F13" s="19"/>
    </row>
    <row r="14" spans="1:36" x14ac:dyDescent="0.2">
      <c r="B14" s="26"/>
    </row>
    <row r="15" spans="1:36" x14ac:dyDescent="0.2">
      <c r="B15" s="26"/>
    </row>
    <row r="16" spans="1:36" x14ac:dyDescent="0.2">
      <c r="B16" s="26"/>
    </row>
    <row r="17" spans="2:2" x14ac:dyDescent="0.2">
      <c r="B17" s="26"/>
    </row>
    <row r="18" spans="2:2" x14ac:dyDescent="0.2">
      <c r="B18" s="26"/>
    </row>
    <row r="19" spans="2:2" x14ac:dyDescent="0.2">
      <c r="B19" s="26"/>
    </row>
    <row r="20" spans="2:2" x14ac:dyDescent="0.2">
      <c r="B20" s="26"/>
    </row>
    <row r="21" spans="2:2" x14ac:dyDescent="0.2">
      <c r="B21" s="26"/>
    </row>
    <row r="22" spans="2:2" x14ac:dyDescent="0.2">
      <c r="B22" s="26"/>
    </row>
    <row r="23" spans="2:2" x14ac:dyDescent="0.2">
      <c r="B23" s="26"/>
    </row>
    <row r="24" spans="2:2" x14ac:dyDescent="0.2">
      <c r="B24" s="26"/>
    </row>
    <row r="25" spans="2:2" x14ac:dyDescent="0.2">
      <c r="B25" s="26"/>
    </row>
    <row r="26" spans="2:2" x14ac:dyDescent="0.2">
      <c r="B26" s="26"/>
    </row>
    <row r="27" spans="2:2" x14ac:dyDescent="0.2">
      <c r="B27" s="26"/>
    </row>
    <row r="28" spans="2:2" x14ac:dyDescent="0.2">
      <c r="B28" s="26"/>
    </row>
    <row r="29" spans="2:2" x14ac:dyDescent="0.2">
      <c r="B29" s="26"/>
    </row>
    <row r="30" spans="2:2" x14ac:dyDescent="0.2">
      <c r="B30" s="26"/>
    </row>
    <row r="31" spans="2:2" x14ac:dyDescent="0.2">
      <c r="B31" s="26"/>
    </row>
    <row r="32" spans="2:2" x14ac:dyDescent="0.2">
      <c r="B32" s="26"/>
    </row>
    <row r="33" spans="2:2" x14ac:dyDescent="0.2">
      <c r="B33" s="26"/>
    </row>
    <row r="34" spans="2:2" x14ac:dyDescent="0.2">
      <c r="B34" s="26"/>
    </row>
    <row r="35" spans="2:2" x14ac:dyDescent="0.2">
      <c r="B35" s="26"/>
    </row>
    <row r="36" spans="2:2" x14ac:dyDescent="0.2">
      <c r="B36" s="26"/>
    </row>
    <row r="37" spans="2:2" x14ac:dyDescent="0.2">
      <c r="B37" s="26"/>
    </row>
    <row r="38" spans="2:2" x14ac:dyDescent="0.2">
      <c r="B38" s="26"/>
    </row>
    <row r="39" spans="2:2" x14ac:dyDescent="0.2">
      <c r="B39" s="26"/>
    </row>
    <row r="40" spans="2:2" x14ac:dyDescent="0.2">
      <c r="B40" s="26"/>
    </row>
    <row r="41" spans="2:2" x14ac:dyDescent="0.2">
      <c r="B41" s="26"/>
    </row>
    <row r="42" spans="2:2" x14ac:dyDescent="0.2">
      <c r="B42" s="26"/>
    </row>
    <row r="43" spans="2:2" x14ac:dyDescent="0.2">
      <c r="B43" s="26"/>
    </row>
    <row r="44" spans="2:2" x14ac:dyDescent="0.2">
      <c r="B44" s="26"/>
    </row>
    <row r="45" spans="2:2" x14ac:dyDescent="0.2">
      <c r="B45" s="26"/>
    </row>
    <row r="46" spans="2:2" x14ac:dyDescent="0.2">
      <c r="B46" s="26"/>
    </row>
    <row r="47" spans="2:2" x14ac:dyDescent="0.2">
      <c r="B47" s="26"/>
    </row>
    <row r="48" spans="2:2" x14ac:dyDescent="0.2">
      <c r="B48" s="26"/>
    </row>
    <row r="49" spans="2:2" x14ac:dyDescent="0.2">
      <c r="B49" s="26"/>
    </row>
    <row r="50" spans="2:2" x14ac:dyDescent="0.2">
      <c r="B50" s="26"/>
    </row>
    <row r="51" spans="2:2" x14ac:dyDescent="0.2">
      <c r="B51" s="26"/>
    </row>
    <row r="52" spans="2:2" x14ac:dyDescent="0.2">
      <c r="B52" s="26"/>
    </row>
    <row r="53" spans="2:2" x14ac:dyDescent="0.2">
      <c r="B53" s="26"/>
    </row>
    <row r="54" spans="2:2" x14ac:dyDescent="0.2">
      <c r="B54" s="26"/>
    </row>
    <row r="55" spans="2:2" x14ac:dyDescent="0.2">
      <c r="B55" s="26"/>
    </row>
    <row r="56" spans="2:2" x14ac:dyDescent="0.2">
      <c r="B56" s="26"/>
    </row>
    <row r="57" spans="2:2" x14ac:dyDescent="0.2">
      <c r="B57" s="26"/>
    </row>
    <row r="58" spans="2:2" x14ac:dyDescent="0.2">
      <c r="B58" s="26"/>
    </row>
    <row r="59" spans="2:2" x14ac:dyDescent="0.2">
      <c r="B59" s="26"/>
    </row>
    <row r="60" spans="2:2" x14ac:dyDescent="0.2">
      <c r="B60" s="26"/>
    </row>
    <row r="61" spans="2:2" x14ac:dyDescent="0.2">
      <c r="B61" s="26"/>
    </row>
    <row r="62" spans="2:2" x14ac:dyDescent="0.2">
      <c r="B62" s="26"/>
    </row>
    <row r="63" spans="2:2" x14ac:dyDescent="0.2">
      <c r="B63" s="26"/>
    </row>
    <row r="64" spans="2:2" x14ac:dyDescent="0.2">
      <c r="B64" s="26"/>
    </row>
    <row r="65" spans="2:2" x14ac:dyDescent="0.2">
      <c r="B65" s="26"/>
    </row>
    <row r="66" spans="2:2" x14ac:dyDescent="0.2">
      <c r="B66" s="26"/>
    </row>
    <row r="67" spans="2:2" x14ac:dyDescent="0.2">
      <c r="B67" s="26"/>
    </row>
    <row r="68" spans="2:2" x14ac:dyDescent="0.2">
      <c r="B68" s="26"/>
    </row>
    <row r="69" spans="2:2" x14ac:dyDescent="0.2">
      <c r="B69" s="26"/>
    </row>
    <row r="70" spans="2:2" x14ac:dyDescent="0.2">
      <c r="B70" s="26"/>
    </row>
    <row r="71" spans="2:2" x14ac:dyDescent="0.2">
      <c r="B71" s="26"/>
    </row>
    <row r="72" spans="2:2" x14ac:dyDescent="0.2">
      <c r="B72" s="26"/>
    </row>
    <row r="73" spans="2:2" x14ac:dyDescent="0.2">
      <c r="B73" s="26"/>
    </row>
    <row r="74" spans="2:2" x14ac:dyDescent="0.2">
      <c r="B74" s="26"/>
    </row>
    <row r="75" spans="2:2" x14ac:dyDescent="0.2">
      <c r="B75" s="26"/>
    </row>
    <row r="76" spans="2:2" x14ac:dyDescent="0.2">
      <c r="B76" s="26"/>
    </row>
    <row r="77" spans="2:2" x14ac:dyDescent="0.2">
      <c r="B77" s="26"/>
    </row>
    <row r="78" spans="2:2" x14ac:dyDescent="0.2">
      <c r="B78" s="26"/>
    </row>
    <row r="79" spans="2:2" x14ac:dyDescent="0.2">
      <c r="B79" s="26"/>
    </row>
    <row r="80" spans="2:2" x14ac:dyDescent="0.2">
      <c r="B80" s="26"/>
    </row>
    <row r="81" spans="2:2" x14ac:dyDescent="0.2">
      <c r="B81" s="26"/>
    </row>
    <row r="82" spans="2:2" x14ac:dyDescent="0.2">
      <c r="B82" s="26"/>
    </row>
    <row r="83" spans="2:2" x14ac:dyDescent="0.2">
      <c r="B83" s="26"/>
    </row>
  </sheetData>
  <mergeCells count="10">
    <mergeCell ref="I3:I8"/>
    <mergeCell ref="B11:E11"/>
    <mergeCell ref="A10:E10"/>
    <mergeCell ref="B12:E12"/>
    <mergeCell ref="A1:A2"/>
    <mergeCell ref="B1:B2"/>
    <mergeCell ref="C1:C2"/>
    <mergeCell ref="D1:D2"/>
    <mergeCell ref="E1:E2"/>
    <mergeCell ref="F1:H1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BA801-467C-4F4A-950C-360F0B780355}">
  <dimension ref="A1:AJ15"/>
  <sheetViews>
    <sheetView workbookViewId="0">
      <selection activeCell="F24" sqref="F24"/>
    </sheetView>
  </sheetViews>
  <sheetFormatPr baseColWidth="10" defaultRowHeight="16" x14ac:dyDescent="0.2"/>
  <cols>
    <col min="1" max="1" width="14.5" bestFit="1" customWidth="1"/>
    <col min="5" max="5" width="51.5" customWidth="1"/>
    <col min="6" max="8" width="12.83203125" customWidth="1"/>
    <col min="9" max="9" width="10.1640625" customWidth="1"/>
  </cols>
  <sheetData>
    <row r="1" spans="1:36" ht="28" customHeight="1" x14ac:dyDescent="0.2">
      <c r="A1" s="15" t="s">
        <v>116</v>
      </c>
      <c r="B1" s="15" t="s">
        <v>122</v>
      </c>
      <c r="C1" s="15" t="s">
        <v>131</v>
      </c>
      <c r="D1" s="15" t="s">
        <v>126</v>
      </c>
      <c r="E1" s="15" t="s">
        <v>149</v>
      </c>
      <c r="F1" s="15" t="s">
        <v>129</v>
      </c>
      <c r="G1" s="15"/>
      <c r="H1" s="15"/>
    </row>
    <row r="2" spans="1:36" s="4" customFormat="1" ht="31" customHeight="1" x14ac:dyDescent="0.2">
      <c r="A2" s="15"/>
      <c r="B2" s="15"/>
      <c r="C2" s="15"/>
      <c r="D2" s="15"/>
      <c r="E2" s="15"/>
      <c r="F2" s="16">
        <v>0</v>
      </c>
      <c r="G2" s="16">
        <v>2</v>
      </c>
      <c r="H2" s="16">
        <v>5</v>
      </c>
    </row>
    <row r="3" spans="1:36" s="5" customFormat="1" ht="25" customHeight="1" x14ac:dyDescent="0.2">
      <c r="A3" s="14" t="s">
        <v>401</v>
      </c>
      <c r="B3" s="14" t="s">
        <v>108</v>
      </c>
      <c r="C3" s="12" t="s">
        <v>86</v>
      </c>
      <c r="D3" s="12">
        <v>2</v>
      </c>
      <c r="E3" s="14" t="s">
        <v>418</v>
      </c>
      <c r="F3" s="14" t="str">
        <f>"FDC1Jxd"&amp;F2</f>
        <v>FDC1Jxd0</v>
      </c>
      <c r="G3" s="14"/>
      <c r="H3" s="14" t="str">
        <f>"FDC1Jxd"&amp;H2</f>
        <v>FDC1Jxd5</v>
      </c>
      <c r="I3" s="33" t="s">
        <v>409</v>
      </c>
    </row>
    <row r="4" spans="1:36" s="5" customFormat="1" ht="25" customHeight="1" x14ac:dyDescent="0.2">
      <c r="A4" s="14" t="s">
        <v>402</v>
      </c>
      <c r="B4" s="14" t="s">
        <v>108</v>
      </c>
      <c r="C4" s="12" t="s">
        <v>86</v>
      </c>
      <c r="D4" s="12">
        <v>2</v>
      </c>
      <c r="E4" s="14" t="s">
        <v>419</v>
      </c>
      <c r="F4" s="14" t="str">
        <f>"FDC2Jxd"&amp;F2</f>
        <v>FDC2Jxd0</v>
      </c>
      <c r="G4" s="14"/>
      <c r="H4" s="14" t="str">
        <f>"FDC2Jxd"&amp;H2</f>
        <v>FDC2Jxd5</v>
      </c>
      <c r="I4" s="34"/>
    </row>
    <row r="5" spans="1:36" s="5" customFormat="1" ht="25" customHeight="1" x14ac:dyDescent="0.2">
      <c r="A5" s="14" t="s">
        <v>403</v>
      </c>
      <c r="B5" s="14" t="s">
        <v>123</v>
      </c>
      <c r="C5" s="12" t="s">
        <v>132</v>
      </c>
      <c r="D5" s="12">
        <v>2</v>
      </c>
      <c r="E5" s="17" t="s">
        <v>412</v>
      </c>
      <c r="F5" s="14" t="str">
        <f>"FDC3Txd"&amp;F2</f>
        <v>FDC3Txd0</v>
      </c>
      <c r="G5" s="14" t="str">
        <f t="shared" ref="G5:H5" si="0">"FDC3Txd"&amp;G2</f>
        <v>FDC3Txd2</v>
      </c>
      <c r="H5" s="14" t="str">
        <f t="shared" si="0"/>
        <v>FDC3Txd5</v>
      </c>
      <c r="I5" s="34"/>
    </row>
    <row r="6" spans="1:36" ht="41" customHeight="1" x14ac:dyDescent="0.2">
      <c r="A6" s="14" t="s">
        <v>404</v>
      </c>
      <c r="B6" s="14" t="s">
        <v>123</v>
      </c>
      <c r="C6" s="12" t="s">
        <v>132</v>
      </c>
      <c r="D6" s="12">
        <v>2</v>
      </c>
      <c r="E6" s="17" t="s">
        <v>413</v>
      </c>
      <c r="F6" s="14" t="str">
        <f>"FDC4Txd"&amp;F2</f>
        <v>FDC4Txd0</v>
      </c>
      <c r="G6" s="14" t="str">
        <f t="shared" ref="G6:H6" si="1">"FDC4Txd"&amp;G2</f>
        <v>FDC4Txd2</v>
      </c>
      <c r="H6" s="14" t="str">
        <f t="shared" si="1"/>
        <v>FDC4Txd5</v>
      </c>
      <c r="I6" s="34"/>
    </row>
    <row r="7" spans="1:36" ht="25" customHeight="1" x14ac:dyDescent="0.2">
      <c r="A7" s="14" t="s">
        <v>405</v>
      </c>
      <c r="B7" s="14" t="s">
        <v>123</v>
      </c>
      <c r="C7" s="12" t="s">
        <v>132</v>
      </c>
      <c r="D7" s="12">
        <v>2</v>
      </c>
      <c r="E7" s="17" t="s">
        <v>414</v>
      </c>
      <c r="F7" s="14" t="str">
        <f>"FDC5Txd"&amp;F2</f>
        <v>FDC5Txd0</v>
      </c>
      <c r="G7" s="14" t="str">
        <f t="shared" ref="G7:H7" si="2">"FDC5Txd"&amp;G2</f>
        <v>FDC5Txd2</v>
      </c>
      <c r="H7" s="14" t="str">
        <f t="shared" si="2"/>
        <v>FDC5Txd5</v>
      </c>
      <c r="I7" s="34"/>
    </row>
    <row r="8" spans="1:36" ht="41" customHeight="1" x14ac:dyDescent="0.2">
      <c r="A8" s="14" t="s">
        <v>406</v>
      </c>
      <c r="B8" s="14" t="s">
        <v>123</v>
      </c>
      <c r="C8" s="12" t="s">
        <v>132</v>
      </c>
      <c r="D8" s="12">
        <v>2</v>
      </c>
      <c r="E8" s="17" t="s">
        <v>415</v>
      </c>
      <c r="F8" s="14" t="str">
        <f>"FDC6Txd"&amp;F2</f>
        <v>FDC6Txd0</v>
      </c>
      <c r="G8" s="14" t="str">
        <f t="shared" ref="G8:H8" si="3">"FDC6Txd"&amp;G2</f>
        <v>FDC6Txd2</v>
      </c>
      <c r="H8" s="14" t="str">
        <f t="shared" si="3"/>
        <v>FDC6Txd5</v>
      </c>
      <c r="I8" s="35"/>
    </row>
    <row r="9" spans="1:36" ht="25" customHeight="1" x14ac:dyDescent="0.2">
      <c r="A9" s="14" t="s">
        <v>407</v>
      </c>
      <c r="B9" s="14" t="s">
        <v>123</v>
      </c>
      <c r="C9" s="32" t="s">
        <v>132</v>
      </c>
      <c r="D9" s="32">
        <v>2</v>
      </c>
      <c r="E9" s="17" t="s">
        <v>410</v>
      </c>
      <c r="F9" s="14" t="str">
        <f>"FDC7T1d"&amp;F2</f>
        <v>FDC7T1d0</v>
      </c>
      <c r="G9" s="14" t="str">
        <f>"FDC7T1d"&amp;G2</f>
        <v>FDC7T1d2</v>
      </c>
      <c r="H9" s="14" t="str">
        <f>"FDC7T1d"&amp;H2</f>
        <v>FDC7T1d5</v>
      </c>
      <c r="I9" s="17"/>
    </row>
    <row r="10" spans="1:36" ht="25" customHeight="1" x14ac:dyDescent="0.2">
      <c r="A10" s="14" t="s">
        <v>408</v>
      </c>
      <c r="B10" s="14" t="s">
        <v>123</v>
      </c>
      <c r="C10" s="32" t="s">
        <v>132</v>
      </c>
      <c r="D10" s="32">
        <v>2</v>
      </c>
      <c r="E10" s="17" t="s">
        <v>411</v>
      </c>
      <c r="F10" s="14" t="str">
        <f>"FDC8Txd"&amp;F2</f>
        <v>FDC8Txd0</v>
      </c>
      <c r="G10" s="14" t="str">
        <f t="shared" ref="G10:H10" si="4">"FDC8Txd"&amp;G2</f>
        <v>FDC8Txd2</v>
      </c>
      <c r="H10" s="14" t="str">
        <f t="shared" si="4"/>
        <v>FDC8Txd5</v>
      </c>
      <c r="I10" s="28" t="s">
        <v>409</v>
      </c>
    </row>
    <row r="11" spans="1:36" ht="25" customHeight="1" x14ac:dyDescent="0.2"/>
    <row r="12" spans="1:36" s="2" customFormat="1" ht="29" customHeight="1" x14ac:dyDescent="0.2">
      <c r="A12" s="13" t="s">
        <v>154</v>
      </c>
      <c r="B12" s="13"/>
      <c r="C12" s="13"/>
      <c r="D12" s="13"/>
      <c r="E12" s="13"/>
      <c r="F12" s="29"/>
      <c r="G12" s="5"/>
      <c r="H12" s="5"/>
      <c r="I12" s="5"/>
      <c r="J12" s="5"/>
      <c r="K12" s="5"/>
      <c r="AJ12"/>
    </row>
    <row r="13" spans="1:36" ht="29" customHeight="1" x14ac:dyDescent="0.2">
      <c r="A13" s="11" t="s">
        <v>155</v>
      </c>
      <c r="B13" s="13" t="s">
        <v>156</v>
      </c>
      <c r="C13" s="13"/>
      <c r="D13" s="13"/>
      <c r="E13" s="13"/>
      <c r="F13" s="29"/>
      <c r="G13" s="6"/>
      <c r="H13" s="6"/>
      <c r="I13" s="6"/>
      <c r="J13" s="6"/>
      <c r="K13" s="6"/>
    </row>
    <row r="14" spans="1:36" ht="25" customHeight="1" x14ac:dyDescent="0.2">
      <c r="A14" s="12" t="s">
        <v>355</v>
      </c>
      <c r="B14" s="10" t="s">
        <v>416</v>
      </c>
      <c r="C14" s="10"/>
      <c r="D14" s="10"/>
      <c r="E14" s="10"/>
      <c r="F14" s="20"/>
      <c r="G14" s="6"/>
      <c r="H14" s="6"/>
      <c r="I14" s="6"/>
      <c r="J14" s="6"/>
      <c r="K14" s="6"/>
    </row>
    <row r="15" spans="1:36" ht="25" customHeight="1" x14ac:dyDescent="0.2">
      <c r="A15" s="12" t="s">
        <v>356</v>
      </c>
      <c r="B15" s="10" t="s">
        <v>417</v>
      </c>
      <c r="C15" s="10"/>
      <c r="D15" s="10"/>
      <c r="E15" s="10"/>
    </row>
  </sheetData>
  <mergeCells count="11">
    <mergeCell ref="I3:I8"/>
    <mergeCell ref="A12:E12"/>
    <mergeCell ref="B13:E13"/>
    <mergeCell ref="B14:E14"/>
    <mergeCell ref="B15:E15"/>
    <mergeCell ref="A1:A2"/>
    <mergeCell ref="B1:B2"/>
    <mergeCell ref="C1:C2"/>
    <mergeCell ref="D1:D2"/>
    <mergeCell ref="E1:E2"/>
    <mergeCell ref="F1:H1"/>
  </mergeCells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5C455-53CF-6742-A45F-DC020D12BA5C}">
  <dimension ref="A1:U26"/>
  <sheetViews>
    <sheetView workbookViewId="0">
      <selection activeCell="G13" sqref="G13"/>
    </sheetView>
  </sheetViews>
  <sheetFormatPr baseColWidth="10" defaultRowHeight="16" x14ac:dyDescent="0.2"/>
  <cols>
    <col min="1" max="1" width="19" customWidth="1"/>
    <col min="2" max="2" width="17.33203125" bestFit="1" customWidth="1"/>
    <col min="5" max="5" width="52" bestFit="1" customWidth="1"/>
    <col min="6" max="20" width="13.6640625" customWidth="1"/>
    <col min="21" max="21" width="16.83203125" bestFit="1" customWidth="1"/>
  </cols>
  <sheetData>
    <row r="1" spans="1:21" ht="28" customHeight="1" x14ac:dyDescent="0.2">
      <c r="A1" s="15" t="s">
        <v>116</v>
      </c>
      <c r="B1" s="15" t="s">
        <v>122</v>
      </c>
      <c r="C1" s="15" t="s">
        <v>131</v>
      </c>
      <c r="D1" s="15" t="s">
        <v>126</v>
      </c>
      <c r="E1" s="15" t="s">
        <v>149</v>
      </c>
      <c r="F1" s="15" t="s">
        <v>129</v>
      </c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</row>
    <row r="2" spans="1:21" s="4" customFormat="1" ht="31" customHeight="1" x14ac:dyDescent="0.2">
      <c r="A2" s="15"/>
      <c r="B2" s="15"/>
      <c r="C2" s="15"/>
      <c r="D2" s="15"/>
      <c r="E2" s="15"/>
      <c r="F2" s="16">
        <v>0</v>
      </c>
      <c r="G2" s="16">
        <v>1</v>
      </c>
      <c r="H2" s="16">
        <v>2</v>
      </c>
      <c r="I2" s="16">
        <v>3</v>
      </c>
      <c r="J2" s="16">
        <v>4</v>
      </c>
      <c r="K2" s="16">
        <v>5</v>
      </c>
      <c r="L2" s="16">
        <v>7</v>
      </c>
      <c r="M2" s="16">
        <v>12</v>
      </c>
      <c r="N2" s="16">
        <v>20</v>
      </c>
      <c r="O2" s="16">
        <v>28</v>
      </c>
      <c r="P2" s="16">
        <v>35</v>
      </c>
      <c r="Q2" s="16">
        <v>45</v>
      </c>
      <c r="R2" s="16">
        <v>60</v>
      </c>
      <c r="S2" s="16">
        <v>71</v>
      </c>
      <c r="T2" s="16">
        <v>81</v>
      </c>
    </row>
    <row r="3" spans="1:21" s="5" customFormat="1" ht="25" customHeight="1" x14ac:dyDescent="0.2">
      <c r="A3" s="14" t="s">
        <v>420</v>
      </c>
      <c r="B3" s="14" t="s">
        <v>108</v>
      </c>
      <c r="C3" s="12" t="s">
        <v>86</v>
      </c>
      <c r="D3" s="12">
        <v>2</v>
      </c>
      <c r="E3" s="14" t="s">
        <v>436</v>
      </c>
      <c r="F3" s="14" t="str">
        <f>"FMTC1Jxd"&amp;F2</f>
        <v>FMTC1Jxd0</v>
      </c>
      <c r="G3" s="14" t="str">
        <f t="shared" ref="G3:N3" si="0">"FMTC1Jxd"&amp;G2</f>
        <v>FMTC1Jxd1</v>
      </c>
      <c r="H3" s="14" t="str">
        <f t="shared" si="0"/>
        <v>FMTC1Jxd2</v>
      </c>
      <c r="I3" s="14" t="str">
        <f t="shared" si="0"/>
        <v>FMTC1Jxd3</v>
      </c>
      <c r="J3" s="14" t="str">
        <f t="shared" si="0"/>
        <v>FMTC1Jxd4</v>
      </c>
      <c r="K3" s="14" t="str">
        <f t="shared" si="0"/>
        <v>FMTC1Jxd5</v>
      </c>
      <c r="L3" s="14" t="str">
        <f t="shared" si="0"/>
        <v>FMTC1Jxd7</v>
      </c>
      <c r="M3" s="14" t="str">
        <f t="shared" si="0"/>
        <v>FMTC1Jxd12</v>
      </c>
      <c r="N3" s="14" t="str">
        <f t="shared" si="0"/>
        <v>FMTC1Jxd20</v>
      </c>
      <c r="O3" s="14" t="str">
        <f>"FMTC1Jxd"&amp;O2</f>
        <v>FMTC1Jxd28</v>
      </c>
      <c r="P3" s="14" t="str">
        <f t="shared" ref="P3" si="1">"FMTC1Jxd"&amp;P2</f>
        <v>FMTC1Jxd35</v>
      </c>
      <c r="Q3" s="14" t="str">
        <f t="shared" ref="Q3" si="2">"FMTC1Jxd"&amp;Q2</f>
        <v>FMTC1Jxd45</v>
      </c>
      <c r="R3" s="14" t="str">
        <f t="shared" ref="R3" si="3">"FMTC1Jxd"&amp;R2</f>
        <v>FMTC1Jxd60</v>
      </c>
      <c r="S3" s="14" t="str">
        <f t="shared" ref="S3" si="4">"FMTC1Jxd"&amp;S2</f>
        <v>FMTC1Jxd71</v>
      </c>
      <c r="T3" s="14" t="str">
        <f t="shared" ref="T3" si="5">"FMTC1Jxd"&amp;T2</f>
        <v>FMTC1Jxd81</v>
      </c>
      <c r="U3" s="14" t="s">
        <v>409</v>
      </c>
    </row>
    <row r="4" spans="1:21" s="5" customFormat="1" ht="25" customHeight="1" x14ac:dyDescent="0.2">
      <c r="A4" s="14" t="s">
        <v>421</v>
      </c>
      <c r="B4" s="14" t="s">
        <v>430</v>
      </c>
      <c r="C4" s="12" t="s">
        <v>431</v>
      </c>
      <c r="D4" s="12" t="s">
        <v>432</v>
      </c>
      <c r="E4" s="14" t="s">
        <v>433</v>
      </c>
      <c r="F4" s="14" t="str">
        <f>"FMTC2xd"&amp;F2</f>
        <v>FMTC2xd0</v>
      </c>
      <c r="G4" s="14" t="str">
        <f t="shared" ref="G4:T4" si="6">"FMTC2xd"&amp;G2</f>
        <v>FMTC2xd1</v>
      </c>
      <c r="H4" s="14" t="str">
        <f t="shared" si="6"/>
        <v>FMTC2xd2</v>
      </c>
      <c r="I4" s="14" t="str">
        <f t="shared" si="6"/>
        <v>FMTC2xd3</v>
      </c>
      <c r="J4" s="14" t="str">
        <f t="shared" si="6"/>
        <v>FMTC2xd4</v>
      </c>
      <c r="K4" s="14" t="str">
        <f t="shared" si="6"/>
        <v>FMTC2xd5</v>
      </c>
      <c r="L4" s="14" t="str">
        <f t="shared" si="6"/>
        <v>FMTC2xd7</v>
      </c>
      <c r="M4" s="14" t="str">
        <f t="shared" si="6"/>
        <v>FMTC2xd12</v>
      </c>
      <c r="N4" s="14" t="str">
        <f t="shared" si="6"/>
        <v>FMTC2xd20</v>
      </c>
      <c r="O4" s="14" t="str">
        <f t="shared" si="6"/>
        <v>FMTC2xd28</v>
      </c>
      <c r="P4" s="14" t="str">
        <f>"FMTC2xd"&amp;P2</f>
        <v>FMTC2xd35</v>
      </c>
      <c r="Q4" s="14" t="str">
        <f t="shared" si="6"/>
        <v>FMTC2xd45</v>
      </c>
      <c r="R4" s="14" t="str">
        <f t="shared" si="6"/>
        <v>FMTC2xd60</v>
      </c>
      <c r="S4" s="14" t="str">
        <f t="shared" si="6"/>
        <v>FMTC2xd71</v>
      </c>
      <c r="T4" s="14" t="str">
        <f t="shared" si="6"/>
        <v>FMTC2xd81</v>
      </c>
      <c r="U4" s="14" t="s">
        <v>434</v>
      </c>
    </row>
    <row r="5" spans="1:21" s="5" customFormat="1" ht="25" customHeight="1" x14ac:dyDescent="0.2">
      <c r="A5" s="14" t="s">
        <v>422</v>
      </c>
      <c r="B5" s="14" t="s">
        <v>108</v>
      </c>
      <c r="C5" s="12" t="s">
        <v>86</v>
      </c>
      <c r="D5" s="12">
        <v>2</v>
      </c>
      <c r="E5" s="14" t="s">
        <v>437</v>
      </c>
      <c r="F5" s="14" t="str">
        <f>"FMTC3Jxd"&amp;F2</f>
        <v>FMTC3Jxd0</v>
      </c>
      <c r="G5" s="14"/>
      <c r="H5" s="14"/>
      <c r="I5" s="14"/>
      <c r="J5" s="14"/>
      <c r="K5" s="14" t="str">
        <f>"FMTC3Jxd"&amp;K2</f>
        <v>FMTC3Jxd5</v>
      </c>
      <c r="L5" s="14"/>
      <c r="M5" s="14"/>
      <c r="N5" s="14"/>
      <c r="O5" s="14"/>
      <c r="P5" s="14"/>
      <c r="Q5" s="14"/>
      <c r="R5" s="14"/>
      <c r="S5" s="14"/>
      <c r="T5" s="14"/>
      <c r="U5" s="43" t="s">
        <v>409</v>
      </c>
    </row>
    <row r="6" spans="1:21" s="5" customFormat="1" ht="25" customHeight="1" x14ac:dyDescent="0.2">
      <c r="A6" s="14" t="s">
        <v>423</v>
      </c>
      <c r="B6" s="14" t="s">
        <v>108</v>
      </c>
      <c r="C6" s="12" t="s">
        <v>86</v>
      </c>
      <c r="D6" s="12">
        <v>2</v>
      </c>
      <c r="E6" s="14" t="s">
        <v>438</v>
      </c>
      <c r="F6" s="14" t="str">
        <f>"FMTC4Jxd"&amp;F2</f>
        <v>FMTC4Jxd0</v>
      </c>
      <c r="G6" s="14"/>
      <c r="H6" s="14"/>
      <c r="I6" s="14"/>
      <c r="J6" s="14"/>
      <c r="K6" s="14" t="str">
        <f>"FMTC4Jxd"&amp;K2</f>
        <v>FMTC4Jxd5</v>
      </c>
      <c r="L6" s="14"/>
      <c r="M6" s="14"/>
      <c r="N6" s="14"/>
      <c r="O6" s="14"/>
      <c r="P6" s="14"/>
      <c r="Q6" s="14"/>
      <c r="R6" s="14"/>
      <c r="S6" s="14"/>
      <c r="T6" s="14"/>
      <c r="U6" s="44"/>
    </row>
    <row r="7" spans="1:21" s="5" customFormat="1" ht="25" customHeight="1" x14ac:dyDescent="0.2">
      <c r="A7" s="14" t="s">
        <v>424</v>
      </c>
      <c r="B7" s="14" t="s">
        <v>108</v>
      </c>
      <c r="C7" s="12" t="s">
        <v>86</v>
      </c>
      <c r="D7" s="12">
        <v>2</v>
      </c>
      <c r="E7" s="14" t="s">
        <v>439</v>
      </c>
      <c r="F7" s="14" t="str">
        <f>"FMTC5Jxd"&amp;F2</f>
        <v>FMTC5Jxd0</v>
      </c>
      <c r="G7" s="14"/>
      <c r="H7" s="14"/>
      <c r="I7" s="14"/>
      <c r="J7" s="14"/>
      <c r="K7" s="37" t="s">
        <v>441</v>
      </c>
      <c r="L7" s="14"/>
      <c r="M7" s="14"/>
      <c r="N7" s="14"/>
      <c r="O7" s="14"/>
      <c r="P7" s="14"/>
      <c r="Q7" s="14"/>
      <c r="R7" s="14"/>
      <c r="S7" s="14"/>
      <c r="T7" s="14"/>
      <c r="U7" s="44"/>
    </row>
    <row r="8" spans="1:21" s="5" customFormat="1" ht="25" customHeight="1" x14ac:dyDescent="0.2">
      <c r="A8" s="14" t="s">
        <v>425</v>
      </c>
      <c r="B8" s="14" t="s">
        <v>108</v>
      </c>
      <c r="C8" s="12" t="s">
        <v>86</v>
      </c>
      <c r="D8" s="12">
        <v>2</v>
      </c>
      <c r="E8" s="14" t="s">
        <v>440</v>
      </c>
      <c r="F8" s="14" t="str">
        <f>"FMTC6Jxd"&amp;F2</f>
        <v>FMTC6Jxd0</v>
      </c>
      <c r="G8" s="14"/>
      <c r="H8" s="14"/>
      <c r="I8" s="14"/>
      <c r="J8" s="14"/>
      <c r="K8" s="14" t="str">
        <f>"FMTC6Jxd"&amp;K2</f>
        <v>FMTC6Jxd5</v>
      </c>
      <c r="L8" s="14"/>
      <c r="M8" s="14"/>
      <c r="N8" s="14"/>
      <c r="O8" s="14"/>
      <c r="P8" s="14"/>
      <c r="Q8" s="14"/>
      <c r="R8" s="14"/>
      <c r="S8" s="14"/>
      <c r="T8" s="14"/>
      <c r="U8" s="44"/>
    </row>
    <row r="9" spans="1:21" s="5" customFormat="1" ht="25" customHeight="1" x14ac:dyDescent="0.2">
      <c r="A9" s="14" t="s">
        <v>426</v>
      </c>
      <c r="B9" s="14" t="s">
        <v>108</v>
      </c>
      <c r="C9" s="12" t="s">
        <v>86</v>
      </c>
      <c r="D9" s="12">
        <v>2</v>
      </c>
      <c r="E9" s="14" t="s">
        <v>448</v>
      </c>
      <c r="F9" s="14" t="str">
        <f>"FMTC7Jxd"&amp;F2</f>
        <v>FMTC7Jxd0</v>
      </c>
      <c r="G9" s="14"/>
      <c r="H9" s="14"/>
      <c r="I9" s="14"/>
      <c r="J9" s="14"/>
      <c r="K9" s="14" t="str">
        <f>"FMTC7Jxd"&amp;K2</f>
        <v>FMTC7Jxd5</v>
      </c>
      <c r="L9" s="14"/>
      <c r="M9" s="14"/>
      <c r="N9" s="14"/>
      <c r="O9" s="14"/>
      <c r="P9" s="14"/>
      <c r="Q9" s="14"/>
      <c r="R9" s="14"/>
      <c r="S9" s="14"/>
      <c r="T9" s="14"/>
      <c r="U9" s="44"/>
    </row>
    <row r="10" spans="1:21" s="5" customFormat="1" ht="25" customHeight="1" x14ac:dyDescent="0.2">
      <c r="A10" s="14" t="s">
        <v>427</v>
      </c>
      <c r="B10" s="14" t="s">
        <v>108</v>
      </c>
      <c r="C10" s="12" t="s">
        <v>86</v>
      </c>
      <c r="D10" s="12">
        <v>2</v>
      </c>
      <c r="E10" s="14" t="s">
        <v>449</v>
      </c>
      <c r="F10" s="14" t="str">
        <f>"FMTC8Jxd"&amp;F2</f>
        <v>FMTC8Jxd0</v>
      </c>
      <c r="G10" s="14"/>
      <c r="H10" s="14"/>
      <c r="I10" s="14"/>
      <c r="J10" s="14"/>
      <c r="K10" s="14" t="str">
        <f>"FMTC8Jxd"&amp;K2</f>
        <v>FMTC8Jxd5</v>
      </c>
      <c r="L10" s="14"/>
      <c r="M10" s="14"/>
      <c r="N10" s="14"/>
      <c r="O10" s="14"/>
      <c r="P10" s="14"/>
      <c r="Q10" s="14"/>
      <c r="R10" s="14"/>
      <c r="S10" s="14"/>
      <c r="T10" s="14"/>
      <c r="U10" s="44"/>
    </row>
    <row r="11" spans="1:21" s="2" customFormat="1" ht="40" customHeight="1" x14ac:dyDescent="0.2">
      <c r="A11" s="14" t="s">
        <v>428</v>
      </c>
      <c r="B11" s="14" t="s">
        <v>108</v>
      </c>
      <c r="C11" s="12" t="s">
        <v>86</v>
      </c>
      <c r="D11" s="12">
        <v>2</v>
      </c>
      <c r="E11" s="17" t="s">
        <v>450</v>
      </c>
      <c r="F11" s="14" t="str">
        <f>"FMTC9Jxd"&amp;F2</f>
        <v>FMTC9Jxd0</v>
      </c>
      <c r="G11" s="17"/>
      <c r="H11" s="8"/>
      <c r="I11" s="17"/>
      <c r="J11" s="8"/>
      <c r="K11" s="14" t="str">
        <f>"FMTC9Jxd"&amp;K2</f>
        <v>FMTC9Jxd5</v>
      </c>
      <c r="L11" s="17"/>
      <c r="M11" s="8"/>
      <c r="N11" s="8"/>
      <c r="O11" s="8"/>
      <c r="P11" s="8"/>
      <c r="Q11" s="8"/>
      <c r="R11" s="8"/>
      <c r="S11" s="8"/>
      <c r="T11" s="17"/>
      <c r="U11" s="44"/>
    </row>
    <row r="12" spans="1:21" s="2" customFormat="1" ht="25" customHeight="1" x14ac:dyDescent="0.2">
      <c r="A12" s="14" t="s">
        <v>429</v>
      </c>
      <c r="B12" s="14" t="s">
        <v>108</v>
      </c>
      <c r="C12" s="12" t="s">
        <v>86</v>
      </c>
      <c r="D12" s="12">
        <v>2</v>
      </c>
      <c r="E12" s="17" t="s">
        <v>454</v>
      </c>
      <c r="F12" s="14" t="str">
        <f>"FMTC10Jxd"&amp;F2</f>
        <v>FMTC10Jxd0</v>
      </c>
      <c r="G12" s="17"/>
      <c r="H12" s="8"/>
      <c r="I12" s="17"/>
      <c r="J12" s="8"/>
      <c r="K12" s="14" t="str">
        <f>"FMTC10Jxd"&amp;K2</f>
        <v>FMTC10Jxd5</v>
      </c>
      <c r="L12" s="17"/>
      <c r="M12" s="8"/>
      <c r="N12" s="8"/>
      <c r="O12" s="8"/>
      <c r="P12" s="8"/>
      <c r="Q12" s="8"/>
      <c r="R12" s="8"/>
      <c r="S12" s="8"/>
      <c r="T12" s="17"/>
      <c r="U12" s="45"/>
    </row>
    <row r="13" spans="1:21" ht="38" customHeight="1" x14ac:dyDescent="0.2"/>
    <row r="14" spans="1:21" ht="25" customHeight="1" x14ac:dyDescent="0.2">
      <c r="A14" s="13" t="s">
        <v>154</v>
      </c>
      <c r="B14" s="13"/>
      <c r="C14" s="13"/>
      <c r="D14" s="13"/>
      <c r="E14" s="13"/>
      <c r="F14" s="13"/>
    </row>
    <row r="15" spans="1:21" ht="25" customHeight="1" x14ac:dyDescent="0.2">
      <c r="A15" s="11" t="s">
        <v>155</v>
      </c>
      <c r="B15" s="38" t="s">
        <v>156</v>
      </c>
      <c r="C15" s="38"/>
      <c r="D15" s="38"/>
      <c r="E15" s="38"/>
      <c r="F15" s="38"/>
    </row>
    <row r="16" spans="1:21" ht="25" customHeight="1" x14ac:dyDescent="0.2">
      <c r="A16" s="14" t="s">
        <v>358</v>
      </c>
      <c r="B16" s="39" t="s">
        <v>435</v>
      </c>
      <c r="C16" s="39"/>
      <c r="D16" s="39"/>
      <c r="E16" s="39"/>
      <c r="F16" s="39"/>
    </row>
    <row r="17" spans="1:6" ht="25" customHeight="1" x14ac:dyDescent="0.2">
      <c r="A17" s="14" t="s">
        <v>363</v>
      </c>
      <c r="B17" s="39" t="s">
        <v>445</v>
      </c>
      <c r="C17" s="39"/>
      <c r="D17" s="39"/>
      <c r="E17" s="39"/>
      <c r="F17" s="39"/>
    </row>
    <row r="18" spans="1:6" ht="25" customHeight="1" x14ac:dyDescent="0.2">
      <c r="A18" s="14" t="s">
        <v>365</v>
      </c>
      <c r="B18" s="39" t="s">
        <v>442</v>
      </c>
      <c r="C18" s="39"/>
      <c r="D18" s="39"/>
      <c r="E18" s="39"/>
      <c r="F18" s="39"/>
    </row>
    <row r="19" spans="1:6" ht="25" customHeight="1" x14ac:dyDescent="0.2">
      <c r="A19" s="14" t="s">
        <v>361</v>
      </c>
      <c r="B19" s="39" t="s">
        <v>446</v>
      </c>
      <c r="C19" s="39"/>
      <c r="D19" s="39"/>
      <c r="E19" s="39"/>
      <c r="F19" s="39"/>
    </row>
    <row r="20" spans="1:6" ht="25" customHeight="1" x14ac:dyDescent="0.2">
      <c r="A20" s="14" t="s">
        <v>364</v>
      </c>
      <c r="B20" s="39" t="s">
        <v>443</v>
      </c>
      <c r="C20" s="39"/>
      <c r="D20" s="39"/>
      <c r="E20" s="39"/>
      <c r="F20" s="39"/>
    </row>
    <row r="21" spans="1:6" ht="25" customHeight="1" x14ac:dyDescent="0.2">
      <c r="A21" s="14" t="s">
        <v>366</v>
      </c>
      <c r="B21" s="39" t="s">
        <v>444</v>
      </c>
      <c r="C21" s="39"/>
      <c r="D21" s="39"/>
      <c r="E21" s="39"/>
      <c r="F21" s="39"/>
    </row>
    <row r="22" spans="1:6" ht="25" customHeight="1" x14ac:dyDescent="0.2">
      <c r="A22" s="14" t="s">
        <v>362</v>
      </c>
      <c r="B22" s="39" t="s">
        <v>447</v>
      </c>
      <c r="C22" s="39"/>
      <c r="D22" s="39"/>
      <c r="E22" s="39"/>
      <c r="F22" s="39"/>
    </row>
    <row r="23" spans="1:6" ht="25" customHeight="1" x14ac:dyDescent="0.2">
      <c r="A23" s="14" t="s">
        <v>359</v>
      </c>
      <c r="B23" s="39" t="s">
        <v>451</v>
      </c>
      <c r="C23" s="39"/>
      <c r="D23" s="39"/>
      <c r="E23" s="39"/>
      <c r="F23" s="39"/>
    </row>
    <row r="24" spans="1:6" ht="25" customHeight="1" x14ac:dyDescent="0.2">
      <c r="A24" s="14" t="s">
        <v>360</v>
      </c>
      <c r="B24" s="39" t="s">
        <v>452</v>
      </c>
      <c r="C24" s="39"/>
      <c r="D24" s="39"/>
      <c r="E24" s="39"/>
      <c r="F24" s="39"/>
    </row>
    <row r="25" spans="1:6" ht="25" customHeight="1" x14ac:dyDescent="0.2">
      <c r="A25" s="14" t="s">
        <v>357</v>
      </c>
      <c r="B25" s="39" t="s">
        <v>453</v>
      </c>
      <c r="C25" s="39"/>
      <c r="D25" s="39"/>
      <c r="E25" s="39"/>
      <c r="F25" s="39"/>
    </row>
    <row r="26" spans="1:6" ht="25" customHeight="1" x14ac:dyDescent="0.2">
      <c r="A26" s="27" t="s">
        <v>367</v>
      </c>
      <c r="B26" s="39" t="s">
        <v>455</v>
      </c>
      <c r="C26" s="39"/>
      <c r="D26" s="39"/>
      <c r="E26" s="39"/>
      <c r="F26" s="39"/>
    </row>
  </sheetData>
  <mergeCells count="20">
    <mergeCell ref="B23:F23"/>
    <mergeCell ref="B24:F24"/>
    <mergeCell ref="B25:F25"/>
    <mergeCell ref="U5:U12"/>
    <mergeCell ref="B26:F26"/>
    <mergeCell ref="B20:F20"/>
    <mergeCell ref="B21:F21"/>
    <mergeCell ref="B17:F17"/>
    <mergeCell ref="B15:F15"/>
    <mergeCell ref="B19:F19"/>
    <mergeCell ref="B22:F22"/>
    <mergeCell ref="A14:F14"/>
    <mergeCell ref="B16:F16"/>
    <mergeCell ref="B18:F18"/>
    <mergeCell ref="A1:A2"/>
    <mergeCell ref="B1:B2"/>
    <mergeCell ref="C1:C2"/>
    <mergeCell ref="D1:D2"/>
    <mergeCell ref="E1:E2"/>
    <mergeCell ref="F1:T1"/>
  </mergeCells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64F70-0AA1-524A-A501-FE4EE4421CF5}">
  <dimension ref="A1:F23"/>
  <sheetViews>
    <sheetView workbookViewId="0">
      <selection activeCell="K24" sqref="K24"/>
    </sheetView>
  </sheetViews>
  <sheetFormatPr baseColWidth="10" defaultRowHeight="16" x14ac:dyDescent="0.2"/>
  <cols>
    <col min="1" max="1" width="13.33203125" bestFit="1" customWidth="1"/>
    <col min="2" max="2" width="22.83203125" bestFit="1" customWidth="1"/>
    <col min="3" max="3" width="19.1640625" customWidth="1"/>
    <col min="4" max="4" width="13.1640625" bestFit="1" customWidth="1"/>
  </cols>
  <sheetData>
    <row r="1" spans="1:6" ht="53" customHeight="1" x14ac:dyDescent="0.2">
      <c r="A1" s="11" t="s">
        <v>155</v>
      </c>
      <c r="B1" s="11" t="s">
        <v>459</v>
      </c>
      <c r="C1" s="16" t="s">
        <v>464</v>
      </c>
      <c r="D1" s="11" t="s">
        <v>128</v>
      </c>
    </row>
    <row r="2" spans="1:6" ht="25" customHeight="1" x14ac:dyDescent="0.2">
      <c r="A2" s="37" t="s">
        <v>347</v>
      </c>
      <c r="B2" s="14" t="s">
        <v>456</v>
      </c>
      <c r="C2" s="12">
        <v>1</v>
      </c>
      <c r="D2" s="14"/>
      <c r="F2" s="5" t="s">
        <v>466</v>
      </c>
    </row>
    <row r="3" spans="1:6" ht="25" customHeight="1" x14ac:dyDescent="0.2">
      <c r="A3" s="37" t="s">
        <v>348</v>
      </c>
      <c r="B3" s="14" t="s">
        <v>456</v>
      </c>
      <c r="C3" s="12">
        <v>2</v>
      </c>
      <c r="D3" s="14"/>
    </row>
    <row r="4" spans="1:6" ht="25" customHeight="1" x14ac:dyDescent="0.2">
      <c r="A4" s="37" t="s">
        <v>349</v>
      </c>
      <c r="B4" s="14" t="s">
        <v>456</v>
      </c>
      <c r="C4" s="12">
        <v>3</v>
      </c>
      <c r="D4" s="14"/>
    </row>
    <row r="5" spans="1:6" ht="25" customHeight="1" x14ac:dyDescent="0.2">
      <c r="A5" s="37" t="s">
        <v>350</v>
      </c>
      <c r="B5" s="14" t="s">
        <v>456</v>
      </c>
      <c r="C5" s="12">
        <v>4</v>
      </c>
      <c r="D5" s="14"/>
    </row>
    <row r="6" spans="1:6" ht="25" customHeight="1" x14ac:dyDescent="0.2">
      <c r="A6" s="37" t="s">
        <v>351</v>
      </c>
      <c r="B6" s="14" t="s">
        <v>456</v>
      </c>
      <c r="C6" s="12">
        <v>5</v>
      </c>
      <c r="D6" s="14"/>
    </row>
    <row r="7" spans="1:6" ht="25" customHeight="1" x14ac:dyDescent="0.2">
      <c r="A7" s="37" t="s">
        <v>368</v>
      </c>
      <c r="B7" s="14" t="s">
        <v>457</v>
      </c>
      <c r="C7" s="12">
        <v>1</v>
      </c>
      <c r="D7" s="14"/>
    </row>
    <row r="8" spans="1:6" ht="25" customHeight="1" x14ac:dyDescent="0.2">
      <c r="A8" s="37" t="s">
        <v>369</v>
      </c>
      <c r="B8" s="14" t="s">
        <v>457</v>
      </c>
      <c r="C8" s="12">
        <v>2</v>
      </c>
      <c r="D8" s="14"/>
    </row>
    <row r="9" spans="1:6" ht="25" customHeight="1" x14ac:dyDescent="0.2">
      <c r="A9" s="37" t="s">
        <v>370</v>
      </c>
      <c r="B9" s="14" t="s">
        <v>457</v>
      </c>
      <c r="C9" s="12">
        <v>3</v>
      </c>
      <c r="D9" s="14"/>
    </row>
    <row r="10" spans="1:6" ht="25" customHeight="1" x14ac:dyDescent="0.2">
      <c r="A10" s="37" t="s">
        <v>371</v>
      </c>
      <c r="B10" s="14" t="s">
        <v>457</v>
      </c>
      <c r="C10" s="12">
        <v>4</v>
      </c>
      <c r="D10" s="14"/>
    </row>
    <row r="11" spans="1:6" ht="25" customHeight="1" x14ac:dyDescent="0.2">
      <c r="A11" s="37" t="s">
        <v>372</v>
      </c>
      <c r="B11" s="14" t="s">
        <v>457</v>
      </c>
      <c r="C11" s="12">
        <v>5</v>
      </c>
      <c r="D11" s="14"/>
    </row>
    <row r="12" spans="1:6" ht="25" customHeight="1" x14ac:dyDescent="0.2">
      <c r="A12" s="14" t="s">
        <v>374</v>
      </c>
      <c r="B12" s="14" t="s">
        <v>458</v>
      </c>
      <c r="C12" s="12">
        <v>1</v>
      </c>
      <c r="D12" s="14"/>
    </row>
    <row r="13" spans="1:6" ht="25" customHeight="1" x14ac:dyDescent="0.2">
      <c r="A13" s="14" t="s">
        <v>375</v>
      </c>
      <c r="B13" s="14" t="s">
        <v>458</v>
      </c>
      <c r="C13" s="12">
        <v>2</v>
      </c>
      <c r="D13" s="14"/>
    </row>
    <row r="14" spans="1:6" ht="25" customHeight="1" x14ac:dyDescent="0.2">
      <c r="A14" s="14" t="s">
        <v>376</v>
      </c>
      <c r="B14" s="14" t="s">
        <v>458</v>
      </c>
      <c r="C14" s="12">
        <v>3</v>
      </c>
      <c r="D14" s="14"/>
    </row>
    <row r="15" spans="1:6" ht="25" customHeight="1" x14ac:dyDescent="0.2">
      <c r="A15" s="14" t="s">
        <v>377</v>
      </c>
      <c r="B15" s="14" t="s">
        <v>458</v>
      </c>
      <c r="C15" s="12">
        <v>4</v>
      </c>
      <c r="D15" s="14"/>
    </row>
    <row r="16" spans="1:6" ht="25" customHeight="1" x14ac:dyDescent="0.2">
      <c r="A16" s="14" t="s">
        <v>378</v>
      </c>
      <c r="B16" s="14" t="s">
        <v>458</v>
      </c>
      <c r="C16" s="12">
        <v>5</v>
      </c>
      <c r="D16" s="14"/>
    </row>
    <row r="17" spans="1:4" ht="25" customHeight="1" x14ac:dyDescent="0.2">
      <c r="A17" s="37" t="s">
        <v>346</v>
      </c>
      <c r="B17" s="14" t="s">
        <v>456</v>
      </c>
      <c r="C17" s="12" t="s">
        <v>460</v>
      </c>
      <c r="D17" s="14" t="s">
        <v>461</v>
      </c>
    </row>
    <row r="18" spans="1:4" ht="25" customHeight="1" x14ac:dyDescent="0.2">
      <c r="A18" s="37" t="s">
        <v>354</v>
      </c>
      <c r="B18" s="14" t="s">
        <v>456</v>
      </c>
      <c r="C18" s="12" t="s">
        <v>460</v>
      </c>
      <c r="D18" s="14" t="s">
        <v>462</v>
      </c>
    </row>
    <row r="19" spans="1:4" ht="25" customHeight="1" x14ac:dyDescent="0.2">
      <c r="A19" s="37" t="s">
        <v>353</v>
      </c>
      <c r="B19" s="14" t="s">
        <v>456</v>
      </c>
      <c r="C19" s="12" t="s">
        <v>460</v>
      </c>
      <c r="D19" s="14" t="s">
        <v>463</v>
      </c>
    </row>
    <row r="20" spans="1:4" ht="25" customHeight="1" x14ac:dyDescent="0.2">
      <c r="A20" s="37" t="s">
        <v>352</v>
      </c>
      <c r="B20" s="14" t="s">
        <v>456</v>
      </c>
      <c r="C20" s="12" t="s">
        <v>465</v>
      </c>
      <c r="D20" s="14"/>
    </row>
    <row r="21" spans="1:4" ht="25" customHeight="1" x14ac:dyDescent="0.2">
      <c r="A21" s="37" t="s">
        <v>373</v>
      </c>
      <c r="B21" s="14" t="s">
        <v>457</v>
      </c>
      <c r="C21" s="12" t="s">
        <v>465</v>
      </c>
      <c r="D21" s="14"/>
    </row>
    <row r="22" spans="1:4" ht="25" customHeight="1" x14ac:dyDescent="0.2">
      <c r="A22" s="14" t="s">
        <v>379</v>
      </c>
      <c r="B22" s="14" t="s">
        <v>458</v>
      </c>
      <c r="C22" s="12" t="s">
        <v>465</v>
      </c>
      <c r="D22" s="14"/>
    </row>
    <row r="23" spans="1:4" ht="25" customHeight="1" x14ac:dyDescent="0.2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46A9B-789C-E544-9F36-A94FD219D36E}">
  <dimension ref="A1:F20"/>
  <sheetViews>
    <sheetView workbookViewId="0">
      <selection activeCell="A2" sqref="A2:A19"/>
    </sheetView>
  </sheetViews>
  <sheetFormatPr baseColWidth="10" defaultRowHeight="16" x14ac:dyDescent="0.2"/>
  <cols>
    <col min="1" max="1" width="16" bestFit="1" customWidth="1"/>
    <col min="2" max="2" width="22.83203125" bestFit="1" customWidth="1"/>
    <col min="3" max="3" width="19.1640625" customWidth="1"/>
    <col min="4" max="4" width="13.1640625" bestFit="1" customWidth="1"/>
  </cols>
  <sheetData>
    <row r="1" spans="1:6" ht="53" customHeight="1" x14ac:dyDescent="0.2">
      <c r="A1" s="11" t="s">
        <v>155</v>
      </c>
      <c r="B1" s="11" t="s">
        <v>459</v>
      </c>
      <c r="C1" s="16" t="s">
        <v>501</v>
      </c>
      <c r="D1" s="11" t="s">
        <v>128</v>
      </c>
    </row>
    <row r="2" spans="1:6" ht="25" customHeight="1" x14ac:dyDescent="0.2">
      <c r="A2" s="47" t="s">
        <v>90</v>
      </c>
      <c r="B2" s="14" t="s">
        <v>456</v>
      </c>
      <c r="C2" s="12">
        <v>2</v>
      </c>
      <c r="D2" s="14"/>
      <c r="F2" s="5" t="s">
        <v>500</v>
      </c>
    </row>
    <row r="3" spans="1:6" ht="25" customHeight="1" x14ac:dyDescent="0.2">
      <c r="A3" s="47" t="s">
        <v>91</v>
      </c>
      <c r="B3" s="14" t="s">
        <v>456</v>
      </c>
      <c r="C3" s="12">
        <v>3</v>
      </c>
      <c r="D3" s="14"/>
    </row>
    <row r="4" spans="1:6" ht="25" customHeight="1" x14ac:dyDescent="0.2">
      <c r="A4" s="47" t="s">
        <v>92</v>
      </c>
      <c r="B4" s="14" t="s">
        <v>456</v>
      </c>
      <c r="C4" s="12">
        <v>4</v>
      </c>
      <c r="D4" s="14"/>
    </row>
    <row r="5" spans="1:6" ht="25" customHeight="1" x14ac:dyDescent="0.2">
      <c r="A5" s="47" t="s">
        <v>93</v>
      </c>
      <c r="B5" s="14" t="s">
        <v>456</v>
      </c>
      <c r="C5" s="12">
        <v>5</v>
      </c>
      <c r="D5" s="14"/>
    </row>
    <row r="6" spans="1:6" ht="25" customHeight="1" x14ac:dyDescent="0.2">
      <c r="A6" s="47" t="s">
        <v>94</v>
      </c>
      <c r="B6" s="14" t="s">
        <v>456</v>
      </c>
      <c r="C6" s="12">
        <v>6</v>
      </c>
      <c r="D6" s="14"/>
    </row>
    <row r="7" spans="1:6" ht="25" customHeight="1" x14ac:dyDescent="0.2">
      <c r="A7" s="47" t="s">
        <v>96</v>
      </c>
      <c r="B7" s="14" t="s">
        <v>457</v>
      </c>
      <c r="C7" s="12">
        <v>2</v>
      </c>
      <c r="D7" s="14"/>
    </row>
    <row r="8" spans="1:6" ht="25" customHeight="1" x14ac:dyDescent="0.2">
      <c r="A8" s="47" t="s">
        <v>97</v>
      </c>
      <c r="B8" s="14" t="s">
        <v>457</v>
      </c>
      <c r="C8" s="12">
        <v>3</v>
      </c>
      <c r="D8" s="14"/>
    </row>
    <row r="9" spans="1:6" ht="25" customHeight="1" x14ac:dyDescent="0.2">
      <c r="A9" s="47" t="s">
        <v>98</v>
      </c>
      <c r="B9" s="14" t="s">
        <v>457</v>
      </c>
      <c r="C9" s="12">
        <v>4</v>
      </c>
      <c r="D9" s="14"/>
    </row>
    <row r="10" spans="1:6" ht="25" customHeight="1" x14ac:dyDescent="0.2">
      <c r="A10" s="47" t="s">
        <v>99</v>
      </c>
      <c r="B10" s="14" t="s">
        <v>457</v>
      </c>
      <c r="C10" s="12">
        <v>5</v>
      </c>
      <c r="D10" s="14"/>
    </row>
    <row r="11" spans="1:6" ht="25" customHeight="1" x14ac:dyDescent="0.2">
      <c r="A11" s="47" t="s">
        <v>100</v>
      </c>
      <c r="B11" s="14" t="s">
        <v>457</v>
      </c>
      <c r="C11" s="12">
        <v>6</v>
      </c>
      <c r="D11" s="14"/>
    </row>
    <row r="12" spans="1:6" ht="25" customHeight="1" x14ac:dyDescent="0.2">
      <c r="A12" s="47" t="s">
        <v>102</v>
      </c>
      <c r="B12" s="14" t="s">
        <v>458</v>
      </c>
      <c r="C12" s="12">
        <v>2</v>
      </c>
      <c r="D12" s="14"/>
    </row>
    <row r="13" spans="1:6" ht="25" customHeight="1" x14ac:dyDescent="0.2">
      <c r="A13" s="47" t="s">
        <v>103</v>
      </c>
      <c r="B13" s="14" t="s">
        <v>458</v>
      </c>
      <c r="C13" s="12">
        <v>3</v>
      </c>
      <c r="D13" s="14"/>
    </row>
    <row r="14" spans="1:6" ht="25" customHeight="1" x14ac:dyDescent="0.2">
      <c r="A14" s="47" t="s">
        <v>104</v>
      </c>
      <c r="B14" s="14" t="s">
        <v>458</v>
      </c>
      <c r="C14" s="12">
        <v>4</v>
      </c>
      <c r="D14" s="14"/>
    </row>
    <row r="15" spans="1:6" ht="25" customHeight="1" x14ac:dyDescent="0.2">
      <c r="A15" s="47" t="s">
        <v>105</v>
      </c>
      <c r="B15" s="14" t="s">
        <v>458</v>
      </c>
      <c r="C15" s="12">
        <v>5</v>
      </c>
      <c r="D15" s="14"/>
    </row>
    <row r="16" spans="1:6" ht="25" customHeight="1" x14ac:dyDescent="0.2">
      <c r="A16" s="47" t="s">
        <v>106</v>
      </c>
      <c r="B16" s="14" t="s">
        <v>458</v>
      </c>
      <c r="C16" s="12">
        <v>6</v>
      </c>
      <c r="D16" s="14"/>
    </row>
    <row r="17" spans="1:4" ht="25" customHeight="1" x14ac:dyDescent="0.2">
      <c r="A17" s="47" t="s">
        <v>95</v>
      </c>
      <c r="B17" s="14" t="s">
        <v>456</v>
      </c>
      <c r="C17" s="12" t="s">
        <v>465</v>
      </c>
      <c r="D17" s="14"/>
    </row>
    <row r="18" spans="1:4" ht="25" customHeight="1" x14ac:dyDescent="0.2">
      <c r="A18" s="47" t="s">
        <v>101</v>
      </c>
      <c r="B18" s="14" t="s">
        <v>457</v>
      </c>
      <c r="C18" s="12" t="s">
        <v>465</v>
      </c>
      <c r="D18" s="14"/>
    </row>
    <row r="19" spans="1:4" ht="25" customHeight="1" x14ac:dyDescent="0.2">
      <c r="A19" s="47" t="s">
        <v>107</v>
      </c>
      <c r="B19" s="14" t="s">
        <v>458</v>
      </c>
      <c r="C19" s="12" t="s">
        <v>465</v>
      </c>
      <c r="D19" s="14"/>
    </row>
    <row r="20" spans="1:4" ht="25" customHeight="1" x14ac:dyDescent="0.2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ABA21-DE36-F44A-B773-285596E21C5C}">
  <dimension ref="A1:J37"/>
  <sheetViews>
    <sheetView workbookViewId="0">
      <selection activeCell="C17" sqref="C17"/>
    </sheetView>
  </sheetViews>
  <sheetFormatPr baseColWidth="10" defaultRowHeight="16" x14ac:dyDescent="0.2"/>
  <cols>
    <col min="1" max="1" width="17.33203125" style="2" customWidth="1"/>
    <col min="2" max="2" width="16" style="2" customWidth="1"/>
    <col min="3" max="3" width="57.83203125" customWidth="1"/>
    <col min="4" max="10" width="11.83203125" customWidth="1"/>
  </cols>
  <sheetData>
    <row r="1" spans="1:10" ht="25" customHeight="1" x14ac:dyDescent="0.2">
      <c r="A1" s="13" t="s">
        <v>210</v>
      </c>
      <c r="B1" s="13" t="s">
        <v>122</v>
      </c>
      <c r="C1" s="13" t="s">
        <v>149</v>
      </c>
      <c r="D1" s="13" t="s">
        <v>129</v>
      </c>
      <c r="E1" s="13"/>
      <c r="F1" s="13"/>
      <c r="G1" s="13"/>
      <c r="H1" s="13"/>
      <c r="I1" s="13"/>
      <c r="J1" s="13"/>
    </row>
    <row r="2" spans="1:10" ht="25" customHeight="1" x14ac:dyDescent="0.2">
      <c r="A2" s="13"/>
      <c r="B2" s="13"/>
      <c r="C2" s="13"/>
      <c r="D2" s="11">
        <v>0</v>
      </c>
      <c r="E2" s="11">
        <v>3</v>
      </c>
      <c r="F2" s="11">
        <v>6</v>
      </c>
      <c r="G2" s="11">
        <v>9</v>
      </c>
      <c r="H2" s="11">
        <v>12</v>
      </c>
      <c r="I2" s="11">
        <v>15</v>
      </c>
      <c r="J2" s="11">
        <v>18</v>
      </c>
    </row>
    <row r="3" spans="1:10" ht="40" customHeight="1" x14ac:dyDescent="0.2">
      <c r="A3" s="14" t="s">
        <v>468</v>
      </c>
      <c r="B3" s="14" t="s">
        <v>467</v>
      </c>
      <c r="C3" s="17" t="s">
        <v>480</v>
      </c>
      <c r="D3" s="14" t="str">
        <f>"Day"&amp;D2&amp;"c1m1"</f>
        <v>Day0c1m1</v>
      </c>
      <c r="E3" s="14"/>
      <c r="F3" s="14" t="str">
        <f t="shared" ref="F3:J3" si="0">"Day"&amp;F2&amp;"c1m1"</f>
        <v>Day6c1m1</v>
      </c>
      <c r="G3" s="14" t="str">
        <f t="shared" si="0"/>
        <v>Day9c1m1</v>
      </c>
      <c r="H3" s="14" t="str">
        <f t="shared" si="0"/>
        <v>Day12c1m1</v>
      </c>
      <c r="I3" s="14" t="str">
        <f t="shared" si="0"/>
        <v>Day15c1m1</v>
      </c>
      <c r="J3" s="14" t="str">
        <f t="shared" si="0"/>
        <v>Day18c1m1</v>
      </c>
    </row>
    <row r="4" spans="1:10" ht="40" customHeight="1" x14ac:dyDescent="0.2">
      <c r="A4" s="14" t="s">
        <v>469</v>
      </c>
      <c r="B4" s="14" t="s">
        <v>467</v>
      </c>
      <c r="C4" s="17" t="s">
        <v>481</v>
      </c>
      <c r="D4" s="14" t="str">
        <f>"Day"&amp;D2&amp;"c1m2"</f>
        <v>Day0c1m2</v>
      </c>
      <c r="E4" s="14" t="str">
        <f t="shared" ref="E4:J4" si="1">"Day"&amp;E2&amp;"c1m2"</f>
        <v>Day3c1m2</v>
      </c>
      <c r="F4" s="14" t="str">
        <f t="shared" si="1"/>
        <v>Day6c1m2</v>
      </c>
      <c r="G4" s="14" t="str">
        <f t="shared" si="1"/>
        <v>Day9c1m2</v>
      </c>
      <c r="H4" s="14" t="str">
        <f t="shared" si="1"/>
        <v>Day12c1m2</v>
      </c>
      <c r="I4" s="14" t="str">
        <f t="shared" si="1"/>
        <v>Day15c1m2</v>
      </c>
      <c r="J4" s="14" t="str">
        <f t="shared" si="1"/>
        <v>Day18c1m2</v>
      </c>
    </row>
    <row r="5" spans="1:10" ht="40" customHeight="1" x14ac:dyDescent="0.2">
      <c r="A5" s="14" t="s">
        <v>470</v>
      </c>
      <c r="B5" s="14" t="s">
        <v>467</v>
      </c>
      <c r="C5" s="17" t="s">
        <v>477</v>
      </c>
      <c r="D5" s="14" t="str">
        <f>"Day"&amp;D2&amp;"c1m3"</f>
        <v>Day0c1m3</v>
      </c>
      <c r="E5" s="14" t="str">
        <f t="shared" ref="E5:G5" si="2">"Day"&amp;E2&amp;"c1m3"</f>
        <v>Day3c1m3</v>
      </c>
      <c r="F5" s="14" t="str">
        <f t="shared" si="2"/>
        <v>Day6c1m3</v>
      </c>
      <c r="G5" s="14" t="str">
        <f t="shared" si="2"/>
        <v>Day9c1m3</v>
      </c>
      <c r="H5" s="14"/>
      <c r="I5" s="14"/>
      <c r="J5" s="14"/>
    </row>
    <row r="6" spans="1:10" ht="40" customHeight="1" x14ac:dyDescent="0.2">
      <c r="A6" s="14" t="s">
        <v>471</v>
      </c>
      <c r="B6" s="14" t="s">
        <v>467</v>
      </c>
      <c r="C6" s="17" t="s">
        <v>482</v>
      </c>
      <c r="D6" s="14" t="str">
        <f>"Day"&amp;D2&amp;"c3m1"</f>
        <v>Day0c3m1</v>
      </c>
      <c r="E6" s="14" t="str">
        <f t="shared" ref="E6:J6" si="3">"Day"&amp;E2&amp;"c3m1"</f>
        <v>Day3c3m1</v>
      </c>
      <c r="F6" s="14" t="str">
        <f t="shared" si="3"/>
        <v>Day6c3m1</v>
      </c>
      <c r="G6" s="14" t="str">
        <f t="shared" si="3"/>
        <v>Day9c3m1</v>
      </c>
      <c r="H6" s="14" t="str">
        <f t="shared" si="3"/>
        <v>Day12c3m1</v>
      </c>
      <c r="I6" s="14" t="str">
        <f t="shared" si="3"/>
        <v>Day15c3m1</v>
      </c>
      <c r="J6" s="14" t="str">
        <f t="shared" si="3"/>
        <v>Day18c3m1</v>
      </c>
    </row>
    <row r="7" spans="1:10" ht="40" customHeight="1" x14ac:dyDescent="0.2">
      <c r="A7" s="14" t="s">
        <v>472</v>
      </c>
      <c r="B7" s="14" t="s">
        <v>467</v>
      </c>
      <c r="C7" s="17" t="s">
        <v>483</v>
      </c>
      <c r="D7" s="14" t="str">
        <f>"Day"&amp;D2&amp;"c3m2"</f>
        <v>Day0c3m2</v>
      </c>
      <c r="E7" s="14" t="str">
        <f t="shared" ref="E7:J7" si="4">"Day"&amp;E2&amp;"c3m2"</f>
        <v>Day3c3m2</v>
      </c>
      <c r="F7" s="14" t="str">
        <f t="shared" si="4"/>
        <v>Day6c3m2</v>
      </c>
      <c r="G7" s="14" t="str">
        <f t="shared" si="4"/>
        <v>Day9c3m2</v>
      </c>
      <c r="H7" s="14" t="str">
        <f t="shared" si="4"/>
        <v>Day12c3m2</v>
      </c>
      <c r="I7" s="14" t="str">
        <f t="shared" si="4"/>
        <v>Day15c3m2</v>
      </c>
      <c r="J7" s="14" t="str">
        <f t="shared" si="4"/>
        <v>Day18c3m2</v>
      </c>
    </row>
    <row r="8" spans="1:10" ht="40" customHeight="1" x14ac:dyDescent="0.2">
      <c r="A8" s="14" t="s">
        <v>473</v>
      </c>
      <c r="B8" s="14" t="s">
        <v>467</v>
      </c>
      <c r="C8" s="17" t="s">
        <v>478</v>
      </c>
      <c r="D8" s="14" t="str">
        <f>"Day"&amp;D2&amp;"c3m3"</f>
        <v>Day0c3m3</v>
      </c>
      <c r="E8" s="14" t="str">
        <f t="shared" ref="E8:G8" si="5">"Day"&amp;E2&amp;"c3m3"</f>
        <v>Day3c3m3</v>
      </c>
      <c r="F8" s="14" t="str">
        <f t="shared" si="5"/>
        <v>Day6c3m3</v>
      </c>
      <c r="G8" s="14" t="str">
        <f t="shared" si="5"/>
        <v>Day9c3m3</v>
      </c>
      <c r="H8" s="14"/>
      <c r="I8" s="14"/>
      <c r="J8" s="14"/>
    </row>
    <row r="9" spans="1:10" ht="40" customHeight="1" x14ac:dyDescent="0.2">
      <c r="A9" s="14" t="s">
        <v>474</v>
      </c>
      <c r="B9" s="14" t="s">
        <v>467</v>
      </c>
      <c r="C9" s="17" t="s">
        <v>484</v>
      </c>
      <c r="D9" s="14" t="str">
        <f>"Day"&amp;D2&amp;"c5m1"</f>
        <v>Day0c5m1</v>
      </c>
      <c r="E9" s="14" t="str">
        <f t="shared" ref="E9:J9" si="6">"Day"&amp;E2&amp;"c5m1"</f>
        <v>Day3c5m1</v>
      </c>
      <c r="F9" s="14" t="str">
        <f t="shared" si="6"/>
        <v>Day6c5m1</v>
      </c>
      <c r="G9" s="14" t="str">
        <f t="shared" si="6"/>
        <v>Day9c5m1</v>
      </c>
      <c r="H9" s="14" t="str">
        <f t="shared" si="6"/>
        <v>Day12c5m1</v>
      </c>
      <c r="I9" s="14" t="str">
        <f t="shared" si="6"/>
        <v>Day15c5m1</v>
      </c>
      <c r="J9" s="14" t="str">
        <f t="shared" si="6"/>
        <v>Day18c5m1</v>
      </c>
    </row>
    <row r="10" spans="1:10" ht="40" customHeight="1" x14ac:dyDescent="0.2">
      <c r="A10" s="14" t="s">
        <v>475</v>
      </c>
      <c r="B10" s="14" t="s">
        <v>467</v>
      </c>
      <c r="C10" s="17" t="s">
        <v>485</v>
      </c>
      <c r="D10" s="14" t="str">
        <f>"Day"&amp;D2&amp;"c5m2"</f>
        <v>Day0c5m2</v>
      </c>
      <c r="E10" s="14" t="str">
        <f t="shared" ref="E10:J10" si="7">"Day"&amp;E2&amp;"c5m2"</f>
        <v>Day3c5m2</v>
      </c>
      <c r="F10" s="14" t="str">
        <f t="shared" si="7"/>
        <v>Day6c5m2</v>
      </c>
      <c r="G10" s="14" t="str">
        <f t="shared" si="7"/>
        <v>Day9c5m2</v>
      </c>
      <c r="H10" s="14" t="str">
        <f t="shared" si="7"/>
        <v>Day12c5m2</v>
      </c>
      <c r="I10" s="14" t="str">
        <f t="shared" si="7"/>
        <v>Day15c5m2</v>
      </c>
      <c r="J10" s="14" t="str">
        <f t="shared" si="7"/>
        <v>Day18c5m2</v>
      </c>
    </row>
    <row r="11" spans="1:10" ht="40" customHeight="1" x14ac:dyDescent="0.2">
      <c r="A11" s="14" t="s">
        <v>476</v>
      </c>
      <c r="B11" s="14" t="s">
        <v>467</v>
      </c>
      <c r="C11" s="17" t="s">
        <v>479</v>
      </c>
      <c r="D11" s="14" t="str">
        <f>"Day"&amp;D2&amp;"c5m3"</f>
        <v>Day0c5m3</v>
      </c>
      <c r="E11" s="14" t="str">
        <f t="shared" ref="E11:G11" si="8">"Day"&amp;E2&amp;"c5m3"</f>
        <v>Day3c5m3</v>
      </c>
      <c r="F11" s="14" t="str">
        <f t="shared" si="8"/>
        <v>Day6c5m3</v>
      </c>
      <c r="G11" s="14" t="str">
        <f t="shared" si="8"/>
        <v>Day9c5m3</v>
      </c>
      <c r="H11" s="14"/>
      <c r="I11" s="14"/>
      <c r="J11" s="14"/>
    </row>
    <row r="29" spans="3:4" x14ac:dyDescent="0.2">
      <c r="C29" s="2"/>
      <c r="D29" s="2"/>
    </row>
    <row r="30" spans="3:4" x14ac:dyDescent="0.2">
      <c r="C30" s="2"/>
      <c r="D30" s="2"/>
    </row>
    <row r="31" spans="3:4" x14ac:dyDescent="0.2">
      <c r="C31" s="2"/>
      <c r="D31" s="2"/>
    </row>
    <row r="32" spans="3:4" x14ac:dyDescent="0.2">
      <c r="C32" s="2"/>
      <c r="D32" s="2"/>
    </row>
    <row r="33" spans="3:4" x14ac:dyDescent="0.2">
      <c r="C33" s="2"/>
      <c r="D33" s="2"/>
    </row>
    <row r="34" spans="3:4" x14ac:dyDescent="0.2">
      <c r="C34" s="46"/>
      <c r="D34" s="2"/>
    </row>
    <row r="35" spans="3:4" x14ac:dyDescent="0.2">
      <c r="C35" s="2"/>
      <c r="D35" s="2"/>
    </row>
    <row r="36" spans="3:4" x14ac:dyDescent="0.2">
      <c r="C36" s="2"/>
      <c r="D36" s="2"/>
    </row>
    <row r="37" spans="3:4" x14ac:dyDescent="0.2">
      <c r="C37" s="2"/>
      <c r="D37" s="2"/>
    </row>
  </sheetData>
  <mergeCells count="4">
    <mergeCell ref="D1:J1"/>
    <mergeCell ref="A1:A2"/>
    <mergeCell ref="B1:B2"/>
    <mergeCell ref="C1:C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5B0F5-4DFF-7046-8B0F-FA5C06F06BAA}">
  <dimension ref="A1:J14"/>
  <sheetViews>
    <sheetView workbookViewId="0">
      <selection activeCell="A7" sqref="A1:XFD7"/>
    </sheetView>
  </sheetViews>
  <sheetFormatPr baseColWidth="10" defaultRowHeight="16" x14ac:dyDescent="0.2"/>
  <cols>
    <col min="1" max="1" width="12.83203125" bestFit="1" customWidth="1"/>
    <col min="5" max="5" width="54.5" bestFit="1" customWidth="1"/>
    <col min="6" max="9" width="15" customWidth="1"/>
    <col min="10" max="10" width="63" bestFit="1" customWidth="1"/>
  </cols>
  <sheetData>
    <row r="1" spans="1:10" ht="28" customHeight="1" x14ac:dyDescent="0.2">
      <c r="A1" s="15" t="s">
        <v>116</v>
      </c>
      <c r="B1" s="15" t="s">
        <v>122</v>
      </c>
      <c r="C1" s="15" t="s">
        <v>131</v>
      </c>
      <c r="D1" s="15" t="s">
        <v>126</v>
      </c>
      <c r="E1" s="15" t="s">
        <v>149</v>
      </c>
      <c r="F1" s="15" t="s">
        <v>129</v>
      </c>
      <c r="G1" s="15"/>
      <c r="H1" s="15"/>
      <c r="I1" s="15"/>
    </row>
    <row r="2" spans="1:10" s="4" customFormat="1" ht="31" customHeight="1" x14ac:dyDescent="0.2">
      <c r="A2" s="15"/>
      <c r="B2" s="15"/>
      <c r="C2" s="15"/>
      <c r="D2" s="15"/>
      <c r="E2" s="15"/>
      <c r="F2" s="16">
        <v>0</v>
      </c>
      <c r="G2" s="16">
        <v>5</v>
      </c>
      <c r="H2" s="16">
        <v>10</v>
      </c>
      <c r="I2" s="16">
        <v>15</v>
      </c>
    </row>
    <row r="3" spans="1:10" s="5" customFormat="1" ht="25" customHeight="1" x14ac:dyDescent="0.2">
      <c r="A3" s="14" t="s">
        <v>486</v>
      </c>
      <c r="B3" s="14" t="s">
        <v>108</v>
      </c>
      <c r="C3" s="12" t="s">
        <v>86</v>
      </c>
      <c r="D3" s="12">
        <v>4</v>
      </c>
      <c r="E3" s="14" t="s">
        <v>436</v>
      </c>
      <c r="F3" s="14" t="str">
        <f>"compC1Jxd"&amp;F2</f>
        <v>compC1Jxd0</v>
      </c>
      <c r="G3" s="14" t="str">
        <f t="shared" ref="G3:I3" si="0">"compC1Jxd"&amp;G2</f>
        <v>compC1Jxd5</v>
      </c>
      <c r="H3" s="14" t="str">
        <f t="shared" si="0"/>
        <v>compC1Jxd10</v>
      </c>
      <c r="I3" s="14" t="str">
        <f t="shared" si="0"/>
        <v>compC1Jxd15</v>
      </c>
      <c r="J3" s="18" t="s">
        <v>135</v>
      </c>
    </row>
    <row r="4" spans="1:10" s="5" customFormat="1" ht="25" customHeight="1" x14ac:dyDescent="0.2">
      <c r="A4" s="14" t="s">
        <v>487</v>
      </c>
      <c r="B4" s="14" t="s">
        <v>108</v>
      </c>
      <c r="C4" s="12" t="s">
        <v>86</v>
      </c>
      <c r="D4" s="12">
        <v>4</v>
      </c>
      <c r="E4" s="14" t="s">
        <v>490</v>
      </c>
      <c r="F4" s="14" t="str">
        <f>"compC2Jxd"&amp;F2</f>
        <v>compC2Jxd0</v>
      </c>
      <c r="G4" s="14" t="str">
        <f t="shared" ref="G4:I4" si="1">"compC2Jxd"&amp;G2</f>
        <v>compC2Jxd5</v>
      </c>
      <c r="H4" s="14" t="str">
        <f t="shared" si="1"/>
        <v>compC2Jxd10</v>
      </c>
      <c r="I4" s="14" t="str">
        <f t="shared" si="1"/>
        <v>compC2Jxd15</v>
      </c>
      <c r="J4" s="18"/>
    </row>
    <row r="5" spans="1:10" s="5" customFormat="1" ht="25" customHeight="1" x14ac:dyDescent="0.2">
      <c r="A5" s="14" t="s">
        <v>488</v>
      </c>
      <c r="B5" s="14" t="s">
        <v>108</v>
      </c>
      <c r="C5" s="12" t="s">
        <v>86</v>
      </c>
      <c r="D5" s="12">
        <v>4</v>
      </c>
      <c r="E5" s="14" t="s">
        <v>491</v>
      </c>
      <c r="F5" s="14" t="str">
        <f>"compC3Jxd"&amp;F2</f>
        <v>compC3Jxd0</v>
      </c>
      <c r="G5" s="14" t="str">
        <f t="shared" ref="G5:I5" si="2">"compC3Jxd"&amp;G2</f>
        <v>compC3Jxd5</v>
      </c>
      <c r="H5" s="14" t="str">
        <f t="shared" si="2"/>
        <v>compC3Jxd10</v>
      </c>
      <c r="I5" s="14" t="str">
        <f t="shared" si="2"/>
        <v>compC3Jxd15</v>
      </c>
      <c r="J5" s="18"/>
    </row>
    <row r="6" spans="1:10" s="5" customFormat="1" ht="25" customHeight="1" x14ac:dyDescent="0.2">
      <c r="A6" s="14" t="s">
        <v>489</v>
      </c>
      <c r="B6" s="14" t="s">
        <v>108</v>
      </c>
      <c r="C6" s="12" t="s">
        <v>86</v>
      </c>
      <c r="D6" s="12">
        <v>4</v>
      </c>
      <c r="E6" s="14" t="s">
        <v>492</v>
      </c>
      <c r="F6" s="14" t="str">
        <f>"compC4Jxd"&amp;F2</f>
        <v>compC4Jxd0</v>
      </c>
      <c r="G6" s="14" t="str">
        <f t="shared" ref="G6:I6" si="3">"compC4Jxd"&amp;G2</f>
        <v>compC4Jxd5</v>
      </c>
      <c r="H6" s="14" t="str">
        <f t="shared" si="3"/>
        <v>compC4Jxd10</v>
      </c>
      <c r="I6" s="14" t="str">
        <f t="shared" si="3"/>
        <v>compC4Jxd15</v>
      </c>
      <c r="J6" s="17" t="s">
        <v>494</v>
      </c>
    </row>
    <row r="7" spans="1:10" ht="25" customHeight="1" x14ac:dyDescent="0.2">
      <c r="E7" s="27" t="s">
        <v>495</v>
      </c>
    </row>
    <row r="8" spans="1:10" ht="25" customHeight="1" x14ac:dyDescent="0.2"/>
    <row r="9" spans="1:10" ht="25" customHeight="1" x14ac:dyDescent="0.2">
      <c r="A9" s="13" t="s">
        <v>154</v>
      </c>
      <c r="B9" s="13"/>
      <c r="C9" s="13"/>
      <c r="D9" s="13"/>
      <c r="E9" s="13"/>
      <c r="F9" s="13"/>
    </row>
    <row r="10" spans="1:10" ht="25" customHeight="1" x14ac:dyDescent="0.2">
      <c r="A10" s="11" t="s">
        <v>155</v>
      </c>
      <c r="B10" s="38" t="s">
        <v>156</v>
      </c>
      <c r="C10" s="38"/>
      <c r="D10" s="38"/>
      <c r="E10" s="38"/>
      <c r="F10" s="38"/>
    </row>
    <row r="11" spans="1:10" ht="25" customHeight="1" x14ac:dyDescent="0.2">
      <c r="A11" s="12" t="s">
        <v>341</v>
      </c>
      <c r="B11" s="39" t="s">
        <v>496</v>
      </c>
      <c r="C11" s="39"/>
      <c r="D11" s="39"/>
      <c r="E11" s="39"/>
      <c r="F11" s="39"/>
    </row>
    <row r="12" spans="1:10" ht="25" customHeight="1" x14ac:dyDescent="0.2">
      <c r="A12" s="12" t="s">
        <v>342</v>
      </c>
      <c r="B12" s="39" t="s">
        <v>497</v>
      </c>
      <c r="C12" s="39"/>
      <c r="D12" s="39"/>
      <c r="E12" s="39"/>
      <c r="F12" s="39"/>
    </row>
    <row r="13" spans="1:10" ht="25" customHeight="1" x14ac:dyDescent="0.2">
      <c r="A13" s="12" t="s">
        <v>343</v>
      </c>
      <c r="B13" s="39" t="s">
        <v>498</v>
      </c>
      <c r="C13" s="39"/>
      <c r="D13" s="39"/>
      <c r="E13" s="39"/>
      <c r="F13" s="39"/>
    </row>
    <row r="14" spans="1:10" ht="25" customHeight="1" x14ac:dyDescent="0.2">
      <c r="A14" s="12" t="s">
        <v>344</v>
      </c>
      <c r="B14" s="39" t="s">
        <v>499</v>
      </c>
      <c r="C14" s="39"/>
      <c r="D14" s="39"/>
      <c r="E14" s="39"/>
      <c r="F14" s="39"/>
    </row>
  </sheetData>
  <mergeCells count="13">
    <mergeCell ref="B12:F12"/>
    <mergeCell ref="B13:F13"/>
    <mergeCell ref="B14:F14"/>
    <mergeCell ref="J3:J5"/>
    <mergeCell ref="A9:F9"/>
    <mergeCell ref="B10:F10"/>
    <mergeCell ref="B11:F11"/>
    <mergeCell ref="A1:A2"/>
    <mergeCell ref="B1:B2"/>
    <mergeCell ref="C1:C2"/>
    <mergeCell ref="D1:D2"/>
    <mergeCell ref="E1:E2"/>
    <mergeCell ref="F1:I1"/>
  </mergeCells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46F9F-0CC1-D344-8C6C-8E96FD9C9A56}">
  <dimension ref="A1:J63"/>
  <sheetViews>
    <sheetView tabSelected="1" workbookViewId="0">
      <selection activeCell="H15" sqref="H15"/>
    </sheetView>
  </sheetViews>
  <sheetFormatPr baseColWidth="10" defaultRowHeight="16" x14ac:dyDescent="0.2"/>
  <cols>
    <col min="5" max="5" width="58.6640625" bestFit="1" customWidth="1"/>
    <col min="6" max="7" width="13.83203125" bestFit="1" customWidth="1"/>
    <col min="8" max="9" width="15" bestFit="1" customWidth="1"/>
  </cols>
  <sheetData>
    <row r="1" spans="1:10" ht="28" customHeight="1" x14ac:dyDescent="0.2">
      <c r="A1" s="15" t="s">
        <v>116</v>
      </c>
      <c r="B1" s="15" t="s">
        <v>122</v>
      </c>
      <c r="C1" s="15" t="s">
        <v>131</v>
      </c>
      <c r="D1" s="15" t="s">
        <v>126</v>
      </c>
      <c r="E1" s="15" t="s">
        <v>149</v>
      </c>
      <c r="F1" s="15" t="s">
        <v>129</v>
      </c>
      <c r="G1" s="15"/>
      <c r="H1" s="15"/>
      <c r="I1" s="15"/>
    </row>
    <row r="2" spans="1:10" s="4" customFormat="1" ht="31" customHeight="1" x14ac:dyDescent="0.2">
      <c r="A2" s="15"/>
      <c r="B2" s="15"/>
      <c r="C2" s="15"/>
      <c r="D2" s="15"/>
      <c r="E2" s="15"/>
      <c r="F2" s="16">
        <v>1</v>
      </c>
      <c r="G2" s="16">
        <v>6</v>
      </c>
      <c r="H2" s="16">
        <v>11</v>
      </c>
      <c r="I2" s="16">
        <v>21</v>
      </c>
    </row>
    <row r="3" spans="1:10" s="5" customFormat="1" ht="25" customHeight="1" x14ac:dyDescent="0.2">
      <c r="A3" s="14" t="s">
        <v>502</v>
      </c>
      <c r="B3" s="14" t="s">
        <v>108</v>
      </c>
      <c r="C3" s="12" t="s">
        <v>86</v>
      </c>
      <c r="D3" s="12">
        <v>3</v>
      </c>
      <c r="E3" s="14" t="s">
        <v>508</v>
      </c>
      <c r="F3" s="14" t="str">
        <f>"S1Jxd"&amp;F2</f>
        <v>S1Jxd1</v>
      </c>
      <c r="G3" s="14" t="str">
        <f t="shared" ref="G3:I3" si="0">"S1Jxd"&amp;G2</f>
        <v>S1Jxd6</v>
      </c>
      <c r="H3" s="14" t="str">
        <f t="shared" si="0"/>
        <v>S1Jxd11</v>
      </c>
      <c r="I3" s="14" t="str">
        <f t="shared" si="0"/>
        <v>S1Jxd21</v>
      </c>
      <c r="J3" s="18" t="s">
        <v>493</v>
      </c>
    </row>
    <row r="4" spans="1:10" s="5" customFormat="1" ht="25" customHeight="1" x14ac:dyDescent="0.2">
      <c r="A4" s="14" t="s">
        <v>503</v>
      </c>
      <c r="B4" s="14" t="s">
        <v>108</v>
      </c>
      <c r="C4" s="12" t="s">
        <v>86</v>
      </c>
      <c r="D4" s="12">
        <v>3</v>
      </c>
      <c r="E4" s="14" t="s">
        <v>509</v>
      </c>
      <c r="F4" s="14" t="str">
        <f>"S2Jxd"&amp;F2</f>
        <v>S2Jxd1</v>
      </c>
      <c r="G4" s="14" t="str">
        <f t="shared" ref="G4:I4" si="1">"S2Jxd"&amp;G2</f>
        <v>S2Jxd6</v>
      </c>
      <c r="H4" s="14" t="str">
        <f t="shared" si="1"/>
        <v>S2Jxd11</v>
      </c>
      <c r="I4" s="14" t="str">
        <f t="shared" si="1"/>
        <v>S2Jxd21</v>
      </c>
      <c r="J4" s="18"/>
    </row>
    <row r="5" spans="1:10" s="5" customFormat="1" ht="25" customHeight="1" x14ac:dyDescent="0.2">
      <c r="A5" s="14" t="s">
        <v>504</v>
      </c>
      <c r="B5" s="14" t="s">
        <v>108</v>
      </c>
      <c r="C5" s="12" t="s">
        <v>86</v>
      </c>
      <c r="D5" s="12">
        <v>3</v>
      </c>
      <c r="E5" s="14" t="s">
        <v>510</v>
      </c>
      <c r="F5" s="14" t="str">
        <f>"S3Jxd"&amp;F2</f>
        <v>S3Jxd1</v>
      </c>
      <c r="G5" s="14" t="str">
        <f t="shared" ref="G5:I5" si="2">"S3Jxd"&amp;G2</f>
        <v>S3Jxd6</v>
      </c>
      <c r="H5" s="14" t="str">
        <f t="shared" si="2"/>
        <v>S3Jxd11</v>
      </c>
      <c r="I5" s="14" t="str">
        <f t="shared" si="2"/>
        <v>S3Jxd21</v>
      </c>
      <c r="J5" s="18"/>
    </row>
    <row r="6" spans="1:10" s="5" customFormat="1" ht="25" customHeight="1" x14ac:dyDescent="0.2">
      <c r="A6" s="14" t="s">
        <v>505</v>
      </c>
      <c r="B6" s="14" t="s">
        <v>108</v>
      </c>
      <c r="C6" s="12" t="s">
        <v>86</v>
      </c>
      <c r="D6" s="12">
        <v>3</v>
      </c>
      <c r="E6" s="14" t="s">
        <v>511</v>
      </c>
      <c r="F6" s="14" t="str">
        <f>"S4Jxd"&amp;F2</f>
        <v>S4Jxd1</v>
      </c>
      <c r="G6" s="14" t="str">
        <f t="shared" ref="G6:I6" si="3">"S4Jxd"&amp;G2</f>
        <v>S4Jxd6</v>
      </c>
      <c r="H6" s="14" t="str">
        <f t="shared" si="3"/>
        <v>S4Jxd11</v>
      </c>
      <c r="I6" s="14" t="str">
        <f t="shared" si="3"/>
        <v>S4Jxd21</v>
      </c>
      <c r="J6" s="18"/>
    </row>
    <row r="7" spans="1:10" ht="25" customHeight="1" x14ac:dyDescent="0.2">
      <c r="A7" s="27" t="s">
        <v>506</v>
      </c>
      <c r="B7" s="14" t="s">
        <v>108</v>
      </c>
      <c r="C7" s="12" t="s">
        <v>86</v>
      </c>
      <c r="D7" s="32">
        <v>3</v>
      </c>
      <c r="E7" s="14" t="s">
        <v>512</v>
      </c>
      <c r="F7" s="14" t="str">
        <f>"consortiaJxd"&amp;F2</f>
        <v>consortiaJxd1</v>
      </c>
      <c r="G7" s="14" t="str">
        <f t="shared" ref="G7:I7" si="4">"consortiaJxd"&amp;G2</f>
        <v>consortiaJxd6</v>
      </c>
      <c r="H7" s="14" t="str">
        <f t="shared" si="4"/>
        <v>consortiaJxd11</v>
      </c>
      <c r="I7" s="14" t="str">
        <f t="shared" si="4"/>
        <v>consortiaJxd21</v>
      </c>
      <c r="J7" s="18"/>
    </row>
    <row r="8" spans="1:10" ht="25" customHeight="1" x14ac:dyDescent="0.2">
      <c r="A8" s="27" t="s">
        <v>507</v>
      </c>
      <c r="B8" s="14" t="s">
        <v>108</v>
      </c>
      <c r="C8" s="12" t="s">
        <v>86</v>
      </c>
      <c r="D8" s="32">
        <v>3</v>
      </c>
      <c r="E8" s="14" t="s">
        <v>513</v>
      </c>
      <c r="F8" s="14" t="str">
        <f>"complexJxd"&amp;F2</f>
        <v>complexJxd1</v>
      </c>
      <c r="G8" s="14" t="str">
        <f t="shared" ref="G8:I8" si="5">"complexJxd"&amp;G2</f>
        <v>complexJxd6</v>
      </c>
      <c r="H8" s="14" t="str">
        <f t="shared" si="5"/>
        <v>complexJxd11</v>
      </c>
      <c r="I8" s="14" t="str">
        <f t="shared" si="5"/>
        <v>complexJxd21</v>
      </c>
      <c r="J8" s="18"/>
    </row>
    <row r="16" spans="1:10" x14ac:dyDescent="0.2">
      <c r="E16" s="1"/>
      <c r="H16" s="1"/>
    </row>
    <row r="17" spans="5:8" x14ac:dyDescent="0.2">
      <c r="E17" s="1"/>
      <c r="H17" s="1"/>
    </row>
    <row r="18" spans="5:8" x14ac:dyDescent="0.2">
      <c r="E18" s="1"/>
      <c r="H18" s="1"/>
    </row>
    <row r="19" spans="5:8" x14ac:dyDescent="0.2">
      <c r="E19" s="1"/>
      <c r="H19" s="1"/>
    </row>
    <row r="20" spans="5:8" x14ac:dyDescent="0.2">
      <c r="E20" s="1"/>
      <c r="H20" s="1"/>
    </row>
    <row r="21" spans="5:8" x14ac:dyDescent="0.2">
      <c r="E21" s="1"/>
      <c r="H21" s="1"/>
    </row>
    <row r="22" spans="5:8" x14ac:dyDescent="0.2">
      <c r="E22" s="1"/>
      <c r="H22" s="1"/>
    </row>
    <row r="23" spans="5:8" x14ac:dyDescent="0.2">
      <c r="E23" s="1"/>
      <c r="H23" s="1"/>
    </row>
    <row r="24" spans="5:8" x14ac:dyDescent="0.2">
      <c r="E24" s="1"/>
      <c r="H24" s="1"/>
    </row>
    <row r="25" spans="5:8" x14ac:dyDescent="0.2">
      <c r="E25" s="1"/>
      <c r="H25" s="1"/>
    </row>
    <row r="26" spans="5:8" x14ac:dyDescent="0.2">
      <c r="E26" s="1"/>
      <c r="H26" s="1"/>
    </row>
    <row r="27" spans="5:8" x14ac:dyDescent="0.2">
      <c r="E27" s="1"/>
      <c r="H27" s="1"/>
    </row>
    <row r="28" spans="5:8" x14ac:dyDescent="0.2">
      <c r="E28" s="1"/>
      <c r="H28" s="1"/>
    </row>
    <row r="29" spans="5:8" x14ac:dyDescent="0.2">
      <c r="E29" s="1"/>
      <c r="H29" s="1"/>
    </row>
    <row r="30" spans="5:8" x14ac:dyDescent="0.2">
      <c r="E30" s="1"/>
      <c r="H30" s="1"/>
    </row>
    <row r="31" spans="5:8" x14ac:dyDescent="0.2">
      <c r="E31" s="1"/>
      <c r="H31" s="1"/>
    </row>
    <row r="32" spans="5:8" x14ac:dyDescent="0.2">
      <c r="E32" s="1"/>
      <c r="H32" s="1"/>
    </row>
    <row r="33" spans="5:8" x14ac:dyDescent="0.2">
      <c r="E33" s="1"/>
      <c r="H33" s="1"/>
    </row>
    <row r="34" spans="5:8" x14ac:dyDescent="0.2">
      <c r="E34" s="1"/>
      <c r="H34" s="1"/>
    </row>
    <row r="35" spans="5:8" x14ac:dyDescent="0.2">
      <c r="E35" s="1"/>
      <c r="H35" s="1"/>
    </row>
    <row r="36" spans="5:8" x14ac:dyDescent="0.2">
      <c r="E36" s="1"/>
      <c r="H36" s="1"/>
    </row>
    <row r="37" spans="5:8" x14ac:dyDescent="0.2">
      <c r="E37" s="1"/>
      <c r="H37" s="1"/>
    </row>
    <row r="38" spans="5:8" x14ac:dyDescent="0.2">
      <c r="E38" s="1"/>
      <c r="H38" s="1"/>
    </row>
    <row r="39" spans="5:8" x14ac:dyDescent="0.2">
      <c r="E39" s="1"/>
      <c r="H39" s="1"/>
    </row>
    <row r="40" spans="5:8" x14ac:dyDescent="0.2">
      <c r="H40" s="1"/>
    </row>
    <row r="41" spans="5:8" x14ac:dyDescent="0.2">
      <c r="H41" s="1"/>
    </row>
    <row r="42" spans="5:8" x14ac:dyDescent="0.2">
      <c r="H42" s="1"/>
    </row>
    <row r="43" spans="5:8" x14ac:dyDescent="0.2">
      <c r="H43" s="1"/>
    </row>
    <row r="44" spans="5:8" x14ac:dyDescent="0.2">
      <c r="H44" s="1"/>
    </row>
    <row r="45" spans="5:8" x14ac:dyDescent="0.2">
      <c r="H45" s="1"/>
    </row>
    <row r="46" spans="5:8" x14ac:dyDescent="0.2">
      <c r="H46" s="1"/>
    </row>
    <row r="47" spans="5:8" x14ac:dyDescent="0.2">
      <c r="H47" s="1"/>
    </row>
    <row r="48" spans="5:8" x14ac:dyDescent="0.2">
      <c r="H48" s="1"/>
    </row>
    <row r="49" spans="8:8" x14ac:dyDescent="0.2">
      <c r="H49" s="1"/>
    </row>
    <row r="50" spans="8:8" x14ac:dyDescent="0.2">
      <c r="H50" s="1"/>
    </row>
    <row r="51" spans="8:8" x14ac:dyDescent="0.2">
      <c r="H51" s="1"/>
    </row>
    <row r="52" spans="8:8" x14ac:dyDescent="0.2">
      <c r="H52" s="1"/>
    </row>
    <row r="53" spans="8:8" x14ac:dyDescent="0.2">
      <c r="H53" s="1"/>
    </row>
    <row r="54" spans="8:8" x14ac:dyDescent="0.2">
      <c r="H54" s="1"/>
    </row>
    <row r="55" spans="8:8" x14ac:dyDescent="0.2">
      <c r="H55" s="1"/>
    </row>
    <row r="56" spans="8:8" x14ac:dyDescent="0.2">
      <c r="H56" s="1"/>
    </row>
    <row r="57" spans="8:8" x14ac:dyDescent="0.2">
      <c r="H57" s="1"/>
    </row>
    <row r="58" spans="8:8" x14ac:dyDescent="0.2">
      <c r="H58" s="1"/>
    </row>
    <row r="59" spans="8:8" x14ac:dyDescent="0.2">
      <c r="H59" s="1"/>
    </row>
    <row r="60" spans="8:8" x14ac:dyDescent="0.2">
      <c r="H60" s="1"/>
    </row>
    <row r="61" spans="8:8" x14ac:dyDescent="0.2">
      <c r="H61" s="1"/>
    </row>
    <row r="62" spans="8:8" x14ac:dyDescent="0.2">
      <c r="H62" s="1"/>
    </row>
    <row r="63" spans="8:8" x14ac:dyDescent="0.2">
      <c r="H63" s="1"/>
    </row>
  </sheetData>
  <mergeCells count="7">
    <mergeCell ref="J3:J8"/>
    <mergeCell ref="A1:A2"/>
    <mergeCell ref="B1:B2"/>
    <mergeCell ref="C1:C2"/>
    <mergeCell ref="D1:D2"/>
    <mergeCell ref="E1:E2"/>
    <mergeCell ref="F1:I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3</vt:i4>
      </vt:variant>
    </vt:vector>
  </HeadingPairs>
  <TitlesOfParts>
    <vt:vector size="15" baseType="lpstr">
      <vt:lpstr>FMT_pairwise_cohousing</vt:lpstr>
      <vt:lpstr>AZ-related</vt:lpstr>
      <vt:lpstr>FMT_J_E_cohousing</vt:lpstr>
      <vt:lpstr>J_diet_DJC</vt:lpstr>
      <vt:lpstr>J_diet_EDC</vt:lpstr>
      <vt:lpstr>J_T_diet_FDC</vt:lpstr>
      <vt:lpstr>J_FMT</vt:lpstr>
      <vt:lpstr>E_J_feces_culture</vt:lpstr>
      <vt:lpstr>E_J_feces_culture2</vt:lpstr>
      <vt:lpstr>GF_FMT</vt:lpstr>
      <vt:lpstr>J_FMT_complexity</vt:lpstr>
      <vt:lpstr>J_FMT_strain</vt:lpstr>
      <vt:lpstr>'AZ-related'!miseq_AZ.list_1</vt:lpstr>
      <vt:lpstr>J_diet_EDC!miseq_AZ.list_1</vt:lpstr>
      <vt:lpstr>J_FMT!miseq_AZ.list_1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2020-12-18T06:27:22Z</dcterms:created>
  <dcterms:modified xsi:type="dcterms:W3CDTF">2020-12-20T04:22:22Z</dcterms:modified>
</cp:coreProperties>
</file>