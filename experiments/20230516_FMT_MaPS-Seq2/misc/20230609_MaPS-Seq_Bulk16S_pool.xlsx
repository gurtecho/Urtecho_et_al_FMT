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illaumeurtecho/Dropbox/fmt/experiments/20230516_FMT_MaPS-Seq2/misc/"/>
    </mc:Choice>
  </mc:AlternateContent>
  <xr:revisionPtr revIDLastSave="0" documentId="13_ncr:1_{BF9949D8-8401-214B-87CC-12984A7F510A}" xr6:coauthVersionLast="47" xr6:coauthVersionMax="47" xr10:uidLastSave="{00000000-0000-0000-0000-000000000000}"/>
  <bookViews>
    <workbookView xWindow="3800" yWindow="1400" windowWidth="27640" windowHeight="15720" xr2:uid="{2FC84CC7-B298-0945-863E-C735789D28D9}"/>
  </bookViews>
  <sheets>
    <sheet name="gDNA plate-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21" i="1"/>
  <c r="G20" i="1"/>
  <c r="G8" i="1"/>
  <c r="G12" i="1"/>
  <c r="G14" i="1"/>
  <c r="G15" i="1"/>
  <c r="E17" i="1"/>
  <c r="E18" i="1"/>
  <c r="E7" i="1"/>
  <c r="E2" i="1"/>
  <c r="C2" i="1"/>
  <c r="D2" i="1" s="1"/>
  <c r="C19" i="1"/>
  <c r="D19" i="1" s="1"/>
  <c r="E19" i="1" s="1"/>
  <c r="C3" i="1"/>
  <c r="D3" i="1" s="1"/>
  <c r="E3" i="1" s="1"/>
  <c r="C10" i="1"/>
  <c r="D10" i="1" s="1"/>
  <c r="E10" i="1" s="1"/>
  <c r="C11" i="1"/>
  <c r="D11" i="1" s="1"/>
  <c r="E11" i="1" s="1"/>
  <c r="C4" i="1"/>
  <c r="D4" i="1" s="1"/>
  <c r="E4" i="1" s="1"/>
  <c r="C12" i="1"/>
  <c r="D12" i="1" s="1"/>
  <c r="E12" i="1" s="1"/>
  <c r="C13" i="1"/>
  <c r="D13" i="1" s="1"/>
  <c r="E13" i="1" s="1"/>
  <c r="C5" i="1"/>
  <c r="D5" i="1" s="1"/>
  <c r="E5" i="1" s="1"/>
  <c r="C14" i="1"/>
  <c r="D14" i="1" s="1"/>
  <c r="E14" i="1" s="1"/>
  <c r="C15" i="1"/>
  <c r="D15" i="1" s="1"/>
  <c r="E15" i="1" s="1"/>
  <c r="C16" i="1"/>
  <c r="D16" i="1" s="1"/>
  <c r="E16" i="1" s="1"/>
  <c r="C6" i="1"/>
  <c r="D6" i="1" s="1"/>
  <c r="E6" i="1" s="1"/>
  <c r="C7" i="1"/>
  <c r="D7" i="1" s="1"/>
  <c r="C17" i="1"/>
  <c r="D17" i="1" s="1"/>
  <c r="C18" i="1"/>
  <c r="D18" i="1" s="1"/>
  <c r="F7" i="1" l="1"/>
  <c r="G7" i="1" s="1"/>
  <c r="F4" i="1"/>
  <c r="G4" i="1" s="1"/>
  <c r="F3" i="1"/>
  <c r="G3" i="1" s="1"/>
  <c r="F19" i="1"/>
  <c r="G19" i="1" s="1"/>
  <c r="F6" i="1"/>
  <c r="G6" i="1" s="1"/>
  <c r="F2" i="1"/>
  <c r="G2" i="1" s="1"/>
  <c r="F13" i="1"/>
  <c r="G13" i="1" s="1"/>
  <c r="F17" i="1"/>
  <c r="G17" i="1" s="1"/>
  <c r="F16" i="1"/>
  <c r="G16" i="1" s="1"/>
  <c r="F5" i="1"/>
  <c r="G5" i="1" s="1"/>
  <c r="F11" i="1"/>
  <c r="G11" i="1" s="1"/>
  <c r="F18" i="1"/>
  <c r="G18" i="1" s="1"/>
  <c r="F10" i="1"/>
  <c r="G10" i="1" s="1"/>
</calcChain>
</file>

<file path=xl/sharedStrings.xml><?xml version="1.0" encoding="utf-8"?>
<sst xmlns="http://schemas.openxmlformats.org/spreadsheetml/2006/main" count="39" uniqueCount="23">
  <si>
    <t>Well</t>
  </si>
  <si>
    <t>final RFU increase</t>
  </si>
  <si>
    <t>scale factor</t>
  </si>
  <si>
    <t>ratio</t>
  </si>
  <si>
    <t>200uL</t>
  </si>
  <si>
    <t>added</t>
  </si>
  <si>
    <t>D3</t>
  </si>
  <si>
    <t>D4</t>
  </si>
  <si>
    <t>D5</t>
  </si>
  <si>
    <t>D6</t>
  </si>
  <si>
    <t>D7</t>
  </si>
  <si>
    <t>D8</t>
  </si>
  <si>
    <t>D9</t>
  </si>
  <si>
    <t>D10</t>
  </si>
  <si>
    <t>E3</t>
  </si>
  <si>
    <t>E4</t>
  </si>
  <si>
    <t>E5</t>
  </si>
  <si>
    <t>E6</t>
  </si>
  <si>
    <t>E7</t>
  </si>
  <si>
    <t>E8</t>
  </si>
  <si>
    <t>E9</t>
  </si>
  <si>
    <t>E10</t>
  </si>
  <si>
    <t>Pool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</si>
</sst>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0.00;\-###0.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8.25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43" fontId="2" fillId="0" borderId="1" xfId="1" applyFont="1" applyBorder="1"/>
    <xf numFmtId="10" fontId="2" fillId="0" borderId="1" xfId="2" applyNumberFormat="1" applyFont="1" applyBorder="1"/>
    <xf numFmtId="43" fontId="0" fillId="0" borderId="0" xfId="0" applyNumberFormat="1"/>
    <xf numFmtId="0" fontId="4" fillId="0" borderId="0" xfId="0" applyFont="1"/>
    <xf numFmtId="0" fontId="5" fillId="0" borderId="2" xfId="0" applyFont="1" applyBorder="1"/>
    <xf numFmtId="164" fontId="6" fillId="0" borderId="0" xfId="0" applyNumberFormat="1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D3CE-1151-F849-BC76-A6F1103B9AAF}">
  <sheetPr>
    <pageSetUpPr fitToPage="1"/>
  </sheetPr>
  <dimension ref="A1:K78"/>
  <sheetViews>
    <sheetView tabSelected="1" zoomScale="94" workbookViewId="0">
      <selection activeCell="J18" sqref="J18"/>
    </sheetView>
  </sheetViews>
  <sheetFormatPr baseColWidth="10" defaultRowHeight="16" x14ac:dyDescent="0.2"/>
  <cols>
    <col min="2" max="2" width="26.1640625" customWidth="1"/>
    <col min="3" max="3" width="13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7"/>
      <c r="K1" s="6"/>
    </row>
    <row r="2" spans="1:11" x14ac:dyDescent="0.2">
      <c r="A2" s="1" t="s">
        <v>6</v>
      </c>
      <c r="B2" s="8">
        <v>2274.8528217908388</v>
      </c>
      <c r="C2" s="3">
        <f t="shared" ref="C2:C7" si="0">1000/B2</f>
        <v>0.43958887819949916</v>
      </c>
      <c r="D2" s="4">
        <f t="shared" ref="D2:D7" si="1">C2/655.43</f>
        <v>6.7068775948537476E-4</v>
      </c>
      <c r="E2" s="1">
        <f>D2*15000</f>
        <v>10.060316392280621</v>
      </c>
      <c r="F2">
        <f t="shared" ref="F2:F7" si="2">E2</f>
        <v>10.060316392280621</v>
      </c>
      <c r="G2">
        <f>ROUND(F2, 1)</f>
        <v>10.1</v>
      </c>
      <c r="H2" s="1" t="s">
        <v>6</v>
      </c>
      <c r="I2" s="5"/>
    </row>
    <row r="3" spans="1:11" x14ac:dyDescent="0.2">
      <c r="A3" s="1" t="s">
        <v>8</v>
      </c>
      <c r="B3" s="8">
        <v>1395.6256921946579</v>
      </c>
      <c r="C3" s="3">
        <f t="shared" si="0"/>
        <v>0.71652449907788229</v>
      </c>
      <c r="D3" s="4">
        <f t="shared" si="1"/>
        <v>1.0932128512242075E-3</v>
      </c>
      <c r="E3" s="1">
        <f t="shared" ref="E3:E7" si="3">D3*15000</f>
        <v>16.398192768363113</v>
      </c>
      <c r="F3">
        <f t="shared" si="2"/>
        <v>16.398192768363113</v>
      </c>
      <c r="G3">
        <f t="shared" ref="G3:G19" si="4">ROUND(F3, 1)</f>
        <v>16.399999999999999</v>
      </c>
      <c r="H3" s="1" t="s">
        <v>8</v>
      </c>
      <c r="I3" s="5"/>
    </row>
    <row r="4" spans="1:11" x14ac:dyDescent="0.2">
      <c r="A4" s="1" t="s">
        <v>11</v>
      </c>
      <c r="B4" s="8">
        <v>1889.5976081168883</v>
      </c>
      <c r="C4" s="3">
        <f t="shared" si="0"/>
        <v>0.52921320163850527</v>
      </c>
      <c r="D4" s="4">
        <f t="shared" si="1"/>
        <v>8.0742901856568254E-4</v>
      </c>
      <c r="E4" s="1">
        <f t="shared" si="3"/>
        <v>12.111435278485239</v>
      </c>
      <c r="F4">
        <f t="shared" si="2"/>
        <v>12.111435278485239</v>
      </c>
      <c r="G4">
        <f t="shared" si="4"/>
        <v>12.1</v>
      </c>
      <c r="H4" s="1" t="s">
        <v>11</v>
      </c>
      <c r="I4" s="5"/>
    </row>
    <row r="5" spans="1:11" x14ac:dyDescent="0.2">
      <c r="A5" s="1" t="s">
        <v>14</v>
      </c>
      <c r="B5" s="8">
        <v>1078.1526185295161</v>
      </c>
      <c r="C5" s="3">
        <f t="shared" si="0"/>
        <v>0.92751247162381534</v>
      </c>
      <c r="D5" s="4">
        <f t="shared" si="1"/>
        <v>1.4151205645512341E-3</v>
      </c>
      <c r="E5" s="1">
        <f t="shared" si="3"/>
        <v>21.226808468268512</v>
      </c>
      <c r="F5">
        <f t="shared" si="2"/>
        <v>21.226808468268512</v>
      </c>
      <c r="G5">
        <f t="shared" si="4"/>
        <v>21.2</v>
      </c>
      <c r="H5" s="1" t="s">
        <v>14</v>
      </c>
      <c r="I5" s="5"/>
    </row>
    <row r="6" spans="1:11" x14ac:dyDescent="0.2">
      <c r="A6" s="1" t="s">
        <v>18</v>
      </c>
      <c r="B6" s="8">
        <v>2087.8207886594046</v>
      </c>
      <c r="C6" s="3">
        <f t="shared" si="0"/>
        <v>0.47896831252557015</v>
      </c>
      <c r="D6" s="4">
        <f t="shared" si="1"/>
        <v>7.3076959023171077E-4</v>
      </c>
      <c r="E6" s="1">
        <f t="shared" si="3"/>
        <v>10.961543853475661</v>
      </c>
      <c r="F6">
        <f t="shared" si="2"/>
        <v>10.961543853475661</v>
      </c>
      <c r="G6">
        <f t="shared" si="4"/>
        <v>11</v>
      </c>
      <c r="H6" s="1" t="s">
        <v>18</v>
      </c>
      <c r="I6" s="5"/>
    </row>
    <row r="7" spans="1:11" x14ac:dyDescent="0.2">
      <c r="A7" s="1" t="s">
        <v>19</v>
      </c>
      <c r="B7" s="8">
        <v>1780.1122679552673</v>
      </c>
      <c r="C7" s="3">
        <f t="shared" si="0"/>
        <v>0.56176232140046634</v>
      </c>
      <c r="D7" s="4">
        <f t="shared" si="1"/>
        <v>8.5708972949127501E-4</v>
      </c>
      <c r="E7" s="1">
        <f t="shared" si="3"/>
        <v>12.856345942369126</v>
      </c>
      <c r="F7">
        <f t="shared" si="2"/>
        <v>12.856345942369126</v>
      </c>
      <c r="G7">
        <f t="shared" si="4"/>
        <v>12.9</v>
      </c>
      <c r="H7" s="1" t="s">
        <v>19</v>
      </c>
      <c r="I7" s="5"/>
    </row>
    <row r="8" spans="1:11" x14ac:dyDescent="0.2">
      <c r="G8">
        <f>SUM(G2:G7)</f>
        <v>83.7</v>
      </c>
      <c r="I8" s="5"/>
    </row>
    <row r="9" spans="1:11" x14ac:dyDescent="0.2">
      <c r="A9" s="6" t="s">
        <v>22</v>
      </c>
      <c r="G9">
        <f>G8*1.8</f>
        <v>150.66</v>
      </c>
      <c r="I9" s="5"/>
    </row>
    <row r="10" spans="1:11" x14ac:dyDescent="0.2">
      <c r="A10" s="1" t="s">
        <v>9</v>
      </c>
      <c r="B10" s="8">
        <v>391.74849069113498</v>
      </c>
      <c r="C10" s="3">
        <f>1000/B10</f>
        <v>2.5526582074018171</v>
      </c>
      <c r="D10" s="4">
        <f>C10/655.43</f>
        <v>3.8946313220356368E-3</v>
      </c>
      <c r="E10" s="1">
        <f>D10*4000</f>
        <v>15.578525288142547</v>
      </c>
      <c r="F10">
        <f>E10</f>
        <v>15.578525288142547</v>
      </c>
      <c r="G10">
        <f t="shared" si="4"/>
        <v>15.6</v>
      </c>
      <c r="H10" s="1" t="s">
        <v>9</v>
      </c>
      <c r="I10" s="5"/>
    </row>
    <row r="11" spans="1:11" x14ac:dyDescent="0.2">
      <c r="A11" s="1" t="s">
        <v>10</v>
      </c>
      <c r="B11" s="8">
        <v>347.66633470984607</v>
      </c>
      <c r="C11" s="3">
        <f>1000/B11</f>
        <v>2.8763210589100492</v>
      </c>
      <c r="D11" s="4">
        <f>C11/655.43</f>
        <v>4.3884488944815605E-3</v>
      </c>
      <c r="E11" s="1">
        <f t="shared" ref="E11:E19" si="5">D11*4000</f>
        <v>17.553795577926241</v>
      </c>
      <c r="F11">
        <f>E11</f>
        <v>17.553795577926241</v>
      </c>
      <c r="G11">
        <f t="shared" si="4"/>
        <v>17.600000000000001</v>
      </c>
      <c r="H11" s="1" t="s">
        <v>10</v>
      </c>
      <c r="I11" s="5"/>
    </row>
    <row r="12" spans="1:11" x14ac:dyDescent="0.2">
      <c r="A12" s="1" t="s">
        <v>12</v>
      </c>
      <c r="B12" s="8">
        <v>286.16874667371576</v>
      </c>
      <c r="C12" s="3">
        <f>1000/B12</f>
        <v>3.4944416943621772</v>
      </c>
      <c r="D12" s="4">
        <f>C12/655.43</f>
        <v>5.3315254021973017E-3</v>
      </c>
      <c r="E12" s="1">
        <f t="shared" si="5"/>
        <v>21.326101608789205</v>
      </c>
      <c r="F12">
        <v>20</v>
      </c>
      <c r="G12">
        <f t="shared" si="4"/>
        <v>20</v>
      </c>
      <c r="H12" s="1" t="s">
        <v>12</v>
      </c>
      <c r="I12" s="5"/>
    </row>
    <row r="13" spans="1:11" x14ac:dyDescent="0.2">
      <c r="A13" s="1" t="s">
        <v>13</v>
      </c>
      <c r="B13" s="8">
        <v>380.89440183256647</v>
      </c>
      <c r="C13" s="3">
        <f>1000/B13</f>
        <v>2.6253995731855881</v>
      </c>
      <c r="D13" s="4">
        <f>C13/655.43</f>
        <v>4.0056139834697656E-3</v>
      </c>
      <c r="E13" s="1">
        <f t="shared" si="5"/>
        <v>16.022455933879062</v>
      </c>
      <c r="F13">
        <f>E13</f>
        <v>16.022455933879062</v>
      </c>
      <c r="G13">
        <f t="shared" si="4"/>
        <v>16</v>
      </c>
      <c r="H13" s="1" t="s">
        <v>13</v>
      </c>
      <c r="I13" s="5"/>
    </row>
    <row r="14" spans="1:11" x14ac:dyDescent="0.2">
      <c r="A14" s="1" t="s">
        <v>15</v>
      </c>
      <c r="B14" s="8">
        <v>-4.1234799071662565</v>
      </c>
      <c r="C14" s="3">
        <f>1000/B14</f>
        <v>-242.51361047305826</v>
      </c>
      <c r="D14" s="4">
        <f>C14/655.43</f>
        <v>-0.37000688170065194</v>
      </c>
      <c r="E14" s="1">
        <f t="shared" si="5"/>
        <v>-1480.0275268026078</v>
      </c>
      <c r="F14">
        <v>20</v>
      </c>
      <c r="G14">
        <f t="shared" si="4"/>
        <v>20</v>
      </c>
      <c r="H14" s="1" t="s">
        <v>15</v>
      </c>
      <c r="I14" s="5"/>
    </row>
    <row r="15" spans="1:11" x14ac:dyDescent="0.2">
      <c r="A15" s="1" t="s">
        <v>16</v>
      </c>
      <c r="B15" s="8">
        <v>196.8290832843245</v>
      </c>
      <c r="C15" s="3">
        <f>1000/B15</f>
        <v>5.0805500046732179</v>
      </c>
      <c r="D15" s="4">
        <f>C15/655.43</f>
        <v>7.7514761373040876E-3</v>
      </c>
      <c r="E15" s="1">
        <f t="shared" si="5"/>
        <v>31.00590454921635</v>
      </c>
      <c r="F15">
        <v>20</v>
      </c>
      <c r="G15">
        <f t="shared" si="4"/>
        <v>20</v>
      </c>
      <c r="H15" s="1" t="s">
        <v>16</v>
      </c>
      <c r="I15" s="5"/>
    </row>
    <row r="16" spans="1:11" x14ac:dyDescent="0.2">
      <c r="A16" s="1" t="s">
        <v>17</v>
      </c>
      <c r="B16" s="8">
        <v>456.80885908239861</v>
      </c>
      <c r="C16" s="3">
        <f>1000/B16</f>
        <v>2.1890994014623986</v>
      </c>
      <c r="D16" s="4">
        <f>C16/655.43</f>
        <v>3.3399438558845318E-3</v>
      </c>
      <c r="E16" s="1">
        <f t="shared" si="5"/>
        <v>13.359775423538128</v>
      </c>
      <c r="F16">
        <f>E16</f>
        <v>13.359775423538128</v>
      </c>
      <c r="G16">
        <f t="shared" si="4"/>
        <v>13.4</v>
      </c>
      <c r="H16" s="1" t="s">
        <v>17</v>
      </c>
      <c r="I16" s="5"/>
    </row>
    <row r="17" spans="1:9" x14ac:dyDescent="0.2">
      <c r="A17" s="1" t="s">
        <v>20</v>
      </c>
      <c r="B17" s="8">
        <v>365.17659723341285</v>
      </c>
      <c r="C17" s="3">
        <f>1000/B17</f>
        <v>2.7384011121633351</v>
      </c>
      <c r="D17" s="4">
        <f>C17/655.43</f>
        <v>4.1780222329819133E-3</v>
      </c>
      <c r="E17" s="1">
        <f t="shared" si="5"/>
        <v>16.712088931927653</v>
      </c>
      <c r="F17">
        <f>E17</f>
        <v>16.712088931927653</v>
      </c>
      <c r="G17">
        <f t="shared" si="4"/>
        <v>16.7</v>
      </c>
      <c r="H17" s="1" t="s">
        <v>20</v>
      </c>
      <c r="I17" s="5"/>
    </row>
    <row r="18" spans="1:9" x14ac:dyDescent="0.2">
      <c r="A18" s="1" t="s">
        <v>21</v>
      </c>
      <c r="B18" s="8">
        <v>765.59936241785863</v>
      </c>
      <c r="C18" s="3">
        <f>1000/B18</f>
        <v>1.3061661870274746</v>
      </c>
      <c r="D18" s="4">
        <f>C18/655.43</f>
        <v>1.9928385747180854E-3</v>
      </c>
      <c r="E18" s="1">
        <f t="shared" si="5"/>
        <v>7.9713542988723418</v>
      </c>
      <c r="F18">
        <f>E18</f>
        <v>7.9713542988723418</v>
      </c>
      <c r="G18">
        <f t="shared" si="4"/>
        <v>8</v>
      </c>
      <c r="H18" s="1" t="s">
        <v>21</v>
      </c>
      <c r="I18" s="5"/>
    </row>
    <row r="19" spans="1:9" x14ac:dyDescent="0.2">
      <c r="A19" s="1" t="s">
        <v>7</v>
      </c>
      <c r="B19" s="8">
        <v>840.92182939805616</v>
      </c>
      <c r="C19" s="3">
        <f>1000/B19</f>
        <v>1.1891711750613185</v>
      </c>
      <c r="D19" s="4">
        <f>C19/655.43</f>
        <v>1.8143374198027534E-3</v>
      </c>
      <c r="E19" s="1">
        <f t="shared" si="5"/>
        <v>7.2573496792110133</v>
      </c>
      <c r="F19">
        <f>E19</f>
        <v>7.2573496792110133</v>
      </c>
      <c r="G19">
        <f t="shared" si="4"/>
        <v>7.3</v>
      </c>
      <c r="H19" s="1" t="s">
        <v>7</v>
      </c>
      <c r="I19" s="5"/>
    </row>
    <row r="20" spans="1:9" x14ac:dyDescent="0.2">
      <c r="G20">
        <f>SUM(G10:G19)</f>
        <v>154.60000000000002</v>
      </c>
      <c r="I20" s="5"/>
    </row>
    <row r="21" spans="1:9" x14ac:dyDescent="0.2">
      <c r="G21">
        <f>G20*1.8</f>
        <v>278.28000000000003</v>
      </c>
      <c r="I21" s="5"/>
    </row>
    <row r="22" spans="1:9" x14ac:dyDescent="0.2">
      <c r="I22" s="5"/>
    </row>
    <row r="23" spans="1:9" x14ac:dyDescent="0.2">
      <c r="I23" s="5"/>
    </row>
    <row r="24" spans="1:9" x14ac:dyDescent="0.2">
      <c r="I24" s="5"/>
    </row>
    <row r="25" spans="1:9" x14ac:dyDescent="0.2">
      <c r="I25" s="5"/>
    </row>
    <row r="26" spans="1:9" x14ac:dyDescent="0.2">
      <c r="I26" s="5"/>
    </row>
    <row r="27" spans="1:9" x14ac:dyDescent="0.2">
      <c r="I27" s="5"/>
    </row>
    <row r="28" spans="1:9" x14ac:dyDescent="0.2">
      <c r="I28" s="5"/>
    </row>
    <row r="29" spans="1:9" x14ac:dyDescent="0.2">
      <c r="I29" s="5"/>
    </row>
    <row r="30" spans="1:9" x14ac:dyDescent="0.2">
      <c r="I30" s="5"/>
    </row>
    <row r="31" spans="1:9" x14ac:dyDescent="0.2">
      <c r="I31" s="5"/>
    </row>
    <row r="32" spans="1:9" x14ac:dyDescent="0.2">
      <c r="I32" s="5"/>
    </row>
    <row r="33" spans="9:9" x14ac:dyDescent="0.2">
      <c r="I33" s="5"/>
    </row>
    <row r="34" spans="9:9" x14ac:dyDescent="0.2">
      <c r="I34" s="5"/>
    </row>
    <row r="35" spans="9:9" x14ac:dyDescent="0.2">
      <c r="I35" s="5"/>
    </row>
    <row r="36" spans="9:9" x14ac:dyDescent="0.2">
      <c r="I36" s="5"/>
    </row>
    <row r="37" spans="9:9" x14ac:dyDescent="0.2">
      <c r="I37" s="5"/>
    </row>
    <row r="38" spans="9:9" x14ac:dyDescent="0.2">
      <c r="I38" s="5"/>
    </row>
    <row r="39" spans="9:9" x14ac:dyDescent="0.2">
      <c r="I39" s="5"/>
    </row>
    <row r="40" spans="9:9" x14ac:dyDescent="0.2">
      <c r="I40" s="5"/>
    </row>
    <row r="41" spans="9:9" x14ac:dyDescent="0.2">
      <c r="I41" s="5"/>
    </row>
    <row r="42" spans="9:9" x14ac:dyDescent="0.2">
      <c r="I42" s="5"/>
    </row>
    <row r="43" spans="9:9" x14ac:dyDescent="0.2">
      <c r="I43" s="5"/>
    </row>
    <row r="44" spans="9:9" x14ac:dyDescent="0.2">
      <c r="I44" s="5"/>
    </row>
    <row r="45" spans="9:9" x14ac:dyDescent="0.2">
      <c r="I45" s="5"/>
    </row>
    <row r="46" spans="9:9" x14ac:dyDescent="0.2">
      <c r="I46" s="5"/>
    </row>
    <row r="47" spans="9:9" x14ac:dyDescent="0.2">
      <c r="I47" s="5"/>
    </row>
    <row r="48" spans="9:9" x14ac:dyDescent="0.2">
      <c r="I48" s="5"/>
    </row>
    <row r="49" spans="9:9" x14ac:dyDescent="0.2">
      <c r="I49" s="5"/>
    </row>
    <row r="50" spans="9:9" x14ac:dyDescent="0.2">
      <c r="I50" s="5"/>
    </row>
    <row r="51" spans="9:9" x14ac:dyDescent="0.2">
      <c r="I51" s="5"/>
    </row>
    <row r="52" spans="9:9" x14ac:dyDescent="0.2">
      <c r="I52" s="5"/>
    </row>
    <row r="53" spans="9:9" x14ac:dyDescent="0.2">
      <c r="I53" s="5"/>
    </row>
    <row r="54" spans="9:9" x14ac:dyDescent="0.2">
      <c r="I54" s="5"/>
    </row>
    <row r="55" spans="9:9" x14ac:dyDescent="0.2">
      <c r="I55" s="5"/>
    </row>
    <row r="56" spans="9:9" x14ac:dyDescent="0.2">
      <c r="I56" s="5"/>
    </row>
    <row r="57" spans="9:9" x14ac:dyDescent="0.2">
      <c r="I57" s="5"/>
    </row>
    <row r="58" spans="9:9" x14ac:dyDescent="0.2">
      <c r="I58" s="5"/>
    </row>
    <row r="59" spans="9:9" x14ac:dyDescent="0.2">
      <c r="I59" s="5"/>
    </row>
    <row r="60" spans="9:9" x14ac:dyDescent="0.2">
      <c r="I60" s="5"/>
    </row>
    <row r="61" spans="9:9" x14ac:dyDescent="0.2">
      <c r="I61" s="5"/>
    </row>
    <row r="62" spans="9:9" x14ac:dyDescent="0.2">
      <c r="I62" s="5"/>
    </row>
    <row r="63" spans="9:9" x14ac:dyDescent="0.2">
      <c r="I63" s="5"/>
    </row>
    <row r="64" spans="9:9" x14ac:dyDescent="0.2">
      <c r="I64" s="5"/>
    </row>
    <row r="65" spans="9:9" x14ac:dyDescent="0.2">
      <c r="I65" s="5"/>
    </row>
    <row r="66" spans="9:9" x14ac:dyDescent="0.2">
      <c r="I66" s="5"/>
    </row>
    <row r="67" spans="9:9" x14ac:dyDescent="0.2">
      <c r="I67" s="5"/>
    </row>
    <row r="68" spans="9:9" x14ac:dyDescent="0.2">
      <c r="I68" s="5"/>
    </row>
    <row r="69" spans="9:9" x14ac:dyDescent="0.2">
      <c r="I69" s="5"/>
    </row>
    <row r="70" spans="9:9" x14ac:dyDescent="0.2">
      <c r="I70" s="5"/>
    </row>
    <row r="71" spans="9:9" x14ac:dyDescent="0.2">
      <c r="I71" s="5"/>
    </row>
    <row r="72" spans="9:9" x14ac:dyDescent="0.2">
      <c r="I72" s="5"/>
    </row>
    <row r="73" spans="9:9" x14ac:dyDescent="0.2">
      <c r="I73" s="5"/>
    </row>
    <row r="74" spans="9:9" x14ac:dyDescent="0.2">
      <c r="I74" s="5"/>
    </row>
    <row r="75" spans="9:9" x14ac:dyDescent="0.2">
      <c r="I75" s="5"/>
    </row>
    <row r="76" spans="9:9" x14ac:dyDescent="0.2">
      <c r="I76" s="5"/>
    </row>
    <row r="77" spans="9:9" x14ac:dyDescent="0.2">
      <c r="I77" s="5"/>
    </row>
    <row r="78" spans="9:9" x14ac:dyDescent="0.2">
      <c r="I78" s="5"/>
    </row>
  </sheetData>
  <phoneticPr fontId="3" type="noConversion"/>
  <conditionalFormatting sqref="E10:E19 E2:E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81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MTMyOC42MDAwMDAwMDAwMDAxfDQ5MTYxNS8xMDIyL0VudHJ5UGFydC8xNjQ0MzcwMDgzfDMzNzIuNg==</eid>
  <version>1</version>
  <updated-at>2021-03-24T13:06:01-04:00</updated-at>
</LabArchives>
</file>

<file path=customXml/itemProps1.xml><?xml version="1.0" encoding="utf-8"?>
<ds:datastoreItem xmlns:ds="http://schemas.openxmlformats.org/officeDocument/2006/customXml" ds:itemID="{2B858656-34D2-49E2-B2DF-FFA9EE64910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gDNA plate-4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2023-06-09T18:21:25Z</cp:lastPrinted>
  <dcterms:created xsi:type="dcterms:W3CDTF">2020-09-17T15:23:43Z</dcterms:created>
  <dcterms:modified xsi:type="dcterms:W3CDTF">2023-06-09T19:09:38Z</dcterms:modified>
</cp:coreProperties>
</file>