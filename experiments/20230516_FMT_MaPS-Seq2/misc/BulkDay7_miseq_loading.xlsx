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laumeurtecho/Dropbox/fmt/experiments/20230516_FMT_MaPS-Seq2/misc/"/>
    </mc:Choice>
  </mc:AlternateContent>
  <xr:revisionPtr revIDLastSave="0" documentId="13_ncr:1_{278CBFF4-EC30-5244-BEDD-50A86A5B4841}" xr6:coauthVersionLast="47" xr6:coauthVersionMax="47" xr10:uidLastSave="{00000000-0000-0000-0000-000000000000}"/>
  <bookViews>
    <workbookView xWindow="0" yWindow="460" windowWidth="28720" windowHeight="14680" xr2:uid="{DC8D6652-A458-0C42-B384-D48E39E8DB30}"/>
  </bookViews>
  <sheets>
    <sheet name="Sheet1" sheetId="1" r:id="rId1"/>
  </sheets>
  <definedNames>
    <definedName name="_xlnm.Print_Area" localSheetId="0">Sheet1!$Q$18:$W$26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" i="1" l="1"/>
  <c r="V24" i="1"/>
  <c r="V23" i="1"/>
  <c r="V22" i="1"/>
  <c r="W22" i="1" s="1"/>
  <c r="V21" i="1"/>
  <c r="V20" i="1"/>
  <c r="W20" i="1" s="1"/>
  <c r="V19" i="1"/>
  <c r="W19" i="1" s="1"/>
  <c r="W21" i="1"/>
  <c r="W25" i="1"/>
  <c r="U26" i="1"/>
  <c r="T23" i="1"/>
  <c r="T24" i="1"/>
  <c r="T22" i="1"/>
  <c r="T21" i="1"/>
  <c r="T20" i="1"/>
  <c r="T19" i="1"/>
  <c r="I4" i="1"/>
  <c r="I5" i="1"/>
  <c r="I6" i="1"/>
  <c r="I7" i="1"/>
  <c r="F4" i="1"/>
  <c r="F5" i="1"/>
  <c r="F6" i="1"/>
  <c r="D4" i="1"/>
  <c r="D5" i="1"/>
  <c r="D6" i="1"/>
  <c r="G8" i="1"/>
  <c r="W24" i="1" l="1"/>
  <c r="W23" i="1"/>
  <c r="M7" i="1"/>
  <c r="M6" i="1"/>
  <c r="M5" i="1"/>
  <c r="M4" i="1"/>
  <c r="M3" i="1"/>
  <c r="D3" i="1"/>
  <c r="F3" i="1" s="1"/>
  <c r="W26" i="1" l="1"/>
  <c r="H3" i="1"/>
  <c r="I3" i="1" s="1"/>
  <c r="H6" i="1"/>
  <c r="H5" i="1"/>
  <c r="H7" i="1"/>
  <c r="H4" i="1"/>
  <c r="J7" i="1" l="1"/>
  <c r="J3" i="1"/>
  <c r="J4" i="1"/>
  <c r="J5" i="1"/>
  <c r="I8" i="1"/>
  <c r="J6" i="1"/>
  <c r="J8" i="1" l="1"/>
  <c r="J9" i="1" s="1"/>
</calcChain>
</file>

<file path=xl/sharedStrings.xml><?xml version="1.0" encoding="utf-8"?>
<sst xmlns="http://schemas.openxmlformats.org/spreadsheetml/2006/main" count="54" uniqueCount="46">
  <si>
    <t>Sample pooling</t>
  </si>
  <si>
    <t>Label</t>
  </si>
  <si>
    <t xml:space="preserve">Qubit Conc. (ng/uL) </t>
  </si>
  <si>
    <t>size (BioA)</t>
  </si>
  <si>
    <t>conc nM</t>
  </si>
  <si>
    <t>scale factor</t>
  </si>
  <si>
    <t>effective nM</t>
  </si>
  <si>
    <t>desired ratio</t>
  </si>
  <si>
    <t># of total ratio</t>
  </si>
  <si>
    <t>desired %</t>
  </si>
  <si>
    <t>pool volume</t>
  </si>
  <si>
    <t>dilution factor</t>
  </si>
  <si>
    <t>final volume (uL)</t>
  </si>
  <si>
    <t>final conc (nM)</t>
  </si>
  <si>
    <t xml:space="preserve">library scale </t>
  </si>
  <si>
    <t>PhiX, 1:10</t>
  </si>
  <si>
    <t>ddH2O</t>
  </si>
  <si>
    <t>Sample loading</t>
  </si>
  <si>
    <t>6uL reads1 to position 12, mix using pipette tips</t>
  </si>
  <si>
    <t>6uL index1 to position 13</t>
  </si>
  <si>
    <t>6uL reads2 to position 14</t>
  </si>
  <si>
    <t>5. Yields 1000uL of 10pM library</t>
  </si>
  <si>
    <r>
      <t xml:space="preserve">6. Load </t>
    </r>
    <r>
      <rPr>
        <b/>
        <sz val="14"/>
        <color theme="1"/>
        <rFont val="Arial"/>
        <family val="2"/>
      </rPr>
      <t>600uL</t>
    </r>
    <r>
      <rPr>
        <sz val="14"/>
        <color theme="1"/>
        <rFont val="Arial"/>
        <family val="2"/>
      </rPr>
      <t xml:space="preserve"> 10pM library in LOAD LIBRARY HERE reservoir</t>
    </r>
  </si>
  <si>
    <t>7. Prepare sampleSheet.csv</t>
  </si>
  <si>
    <t>8. Sequence with R1 154, R2 154, I1 (p7) 8, I2 (p5) 8 per the loading instructions provided before on Miseq</t>
  </si>
  <si>
    <t>GBT, cultivage_p1a1</t>
  </si>
  <si>
    <t>GBT, cultivage_p1a2</t>
  </si>
  <si>
    <t>GBT, cultivage_p2a1</t>
  </si>
  <si>
    <t>GBT, cultivage_p2a2</t>
  </si>
  <si>
    <t>third from left multichannel black part facing you</t>
  </si>
  <si>
    <t>qubit not accurate at low conc, lower scale factor</t>
  </si>
  <si>
    <r>
      <t xml:space="preserve">1. Take </t>
    </r>
    <r>
      <rPr>
        <b/>
        <sz val="14"/>
        <color theme="1"/>
        <rFont val="Arial"/>
        <family val="2"/>
      </rPr>
      <t>20uL</t>
    </r>
    <r>
      <rPr>
        <sz val="14"/>
        <color theme="1"/>
        <rFont val="Arial"/>
        <family val="2"/>
      </rPr>
      <t xml:space="preserve"> of library</t>
    </r>
  </si>
  <si>
    <r>
      <t xml:space="preserve">2. Add </t>
    </r>
    <r>
      <rPr>
        <b/>
        <sz val="14"/>
        <color theme="1"/>
        <rFont val="Arial"/>
        <family val="2"/>
      </rPr>
      <t>20uL</t>
    </r>
    <r>
      <rPr>
        <sz val="14"/>
        <color theme="1"/>
        <rFont val="Arial"/>
        <family val="2"/>
      </rPr>
      <t xml:space="preserve"> 0.2N NaOH, vortex, spin down, wait 5min at RT</t>
    </r>
  </si>
  <si>
    <r>
      <t xml:space="preserve">3. Add </t>
    </r>
    <r>
      <rPr>
        <b/>
        <sz val="14"/>
        <color theme="1"/>
        <rFont val="Arial"/>
        <family val="2"/>
      </rPr>
      <t>20u</t>
    </r>
    <r>
      <rPr>
        <sz val="14"/>
        <color theme="1"/>
        <rFont val="Arial"/>
        <family val="2"/>
      </rPr>
      <t>L 0.2M Tris HCl pH7.0 vortex, spin down</t>
    </r>
  </si>
  <si>
    <r>
      <t xml:space="preserve">4. add </t>
    </r>
    <r>
      <rPr>
        <b/>
        <sz val="14"/>
        <color theme="1"/>
        <rFont val="Arial"/>
        <family val="2"/>
      </rPr>
      <t>940uL</t>
    </r>
    <r>
      <rPr>
        <sz val="14"/>
        <color theme="1"/>
        <rFont val="Arial"/>
        <family val="2"/>
      </rPr>
      <t xml:space="preserve"> of HT1</t>
    </r>
  </si>
  <si>
    <t>arbitrary number to make Phix 30%</t>
  </si>
  <si>
    <t>dilution factors chosen for easier pipetting</t>
  </si>
  <si>
    <t>final TOTAL volume</t>
  </si>
  <si>
    <t>for a 5 dilution add 2ul sample + 8ul water</t>
  </si>
  <si>
    <t>Add these primers to cartridge (in -20 box, YH sequencing lib)</t>
  </si>
  <si>
    <t>numSamples</t>
  </si>
  <si>
    <t>target nM</t>
  </si>
  <si>
    <t>vol</t>
  </si>
  <si>
    <t>phix</t>
  </si>
  <si>
    <t>Bulk_Pool1 (2:100)</t>
  </si>
  <si>
    <t>Bulk_Pool2 (2:50)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</si>
</sst>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vertical="center"/>
    </xf>
    <xf numFmtId="2" fontId="4" fillId="3" borderId="1" xfId="0" applyNumberFormat="1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0" fontId="4" fillId="2" borderId="1" xfId="2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4" fillId="4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/>
    <xf numFmtId="2" fontId="4" fillId="5" borderId="1" xfId="0" applyNumberFormat="1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/>
    <xf numFmtId="0" fontId="6" fillId="2" borderId="0" xfId="0" applyFont="1" applyFill="1"/>
    <xf numFmtId="0" fontId="0" fillId="2" borderId="0" xfId="0" applyFill="1"/>
    <xf numFmtId="0" fontId="4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164" fontId="4" fillId="3" borderId="2" xfId="1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C9EE-1234-C042-98D1-858287A76151}">
  <sheetPr>
    <pageSetUpPr fitToPage="1"/>
  </sheetPr>
  <dimension ref="A1:W26"/>
  <sheetViews>
    <sheetView tabSelected="1" topLeftCell="A2" zoomScale="140" workbookViewId="0">
      <selection activeCell="E12" sqref="E12"/>
    </sheetView>
  </sheetViews>
  <sheetFormatPr baseColWidth="10" defaultColWidth="10.6640625" defaultRowHeight="16" x14ac:dyDescent="0.2"/>
  <cols>
    <col min="1" max="1" width="30.6640625" customWidth="1"/>
    <col min="17" max="17" width="34.1640625" customWidth="1"/>
  </cols>
  <sheetData>
    <row r="1" spans="1:14" ht="18" x14ac:dyDescent="0.2">
      <c r="A1" s="1" t="s">
        <v>0</v>
      </c>
    </row>
    <row r="2" spans="1:14" ht="51" x14ac:dyDescent="0.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4" t="s">
        <v>12</v>
      </c>
      <c r="M2" s="4" t="s">
        <v>13</v>
      </c>
      <c r="N2" s="4" t="s">
        <v>14</v>
      </c>
    </row>
    <row r="3" spans="1:14" x14ac:dyDescent="0.2">
      <c r="A3" s="16" t="s">
        <v>25</v>
      </c>
      <c r="B3" s="6">
        <v>0.65200000000000002</v>
      </c>
      <c r="C3" s="7">
        <v>390</v>
      </c>
      <c r="D3" s="8">
        <f>(B3*10^6)/(660*C3)</f>
        <v>2.5330225330225331</v>
      </c>
      <c r="E3" s="9">
        <v>1</v>
      </c>
      <c r="F3" s="8">
        <f>D3*E3</f>
        <v>2.5330225330225331</v>
      </c>
      <c r="G3" s="7">
        <v>61</v>
      </c>
      <c r="H3" s="10">
        <f>G8</f>
        <v>190</v>
      </c>
      <c r="I3" s="11">
        <f t="shared" ref="I3:I7" si="0">G3/H3</f>
        <v>0.32105263157894737</v>
      </c>
      <c r="J3" s="12">
        <f>K3*L3*M3*I3/F3 * N3</f>
        <v>4.9431272198902168</v>
      </c>
      <c r="K3" s="13">
        <v>5</v>
      </c>
      <c r="L3" s="7">
        <v>20</v>
      </c>
      <c r="M3" s="7">
        <f t="shared" ref="M3:M7" si="1">10/L3</f>
        <v>0.5</v>
      </c>
      <c r="N3" s="7">
        <v>0.78</v>
      </c>
    </row>
    <row r="4" spans="1:14" x14ac:dyDescent="0.2">
      <c r="A4" s="16" t="s">
        <v>26</v>
      </c>
      <c r="B4" s="14">
        <v>4.9200000000000001E-2</v>
      </c>
      <c r="C4" s="7">
        <v>390</v>
      </c>
      <c r="D4" s="8">
        <f t="shared" ref="D4:D6" si="2">(B4*10^6)/(660*C4)</f>
        <v>0.19114219114219114</v>
      </c>
      <c r="E4" s="31">
        <v>0.9</v>
      </c>
      <c r="F4" s="8">
        <f t="shared" ref="F4:F6" si="3">D4*E4</f>
        <v>0.17202797202797201</v>
      </c>
      <c r="G4" s="7">
        <v>11</v>
      </c>
      <c r="H4" s="10">
        <f>G8</f>
        <v>190</v>
      </c>
      <c r="I4" s="11">
        <f t="shared" si="0"/>
        <v>5.7894736842105263E-2</v>
      </c>
      <c r="J4" s="12">
        <f t="shared" ref="J4:J7" si="4">K4*L4*M4*I4/F4 * N4</f>
        <v>2.6250320924261876</v>
      </c>
      <c r="K4" s="15">
        <v>1</v>
      </c>
      <c r="L4" s="7">
        <v>20</v>
      </c>
      <c r="M4" s="7">
        <f t="shared" si="1"/>
        <v>0.5</v>
      </c>
      <c r="N4" s="7">
        <v>0.78</v>
      </c>
    </row>
    <row r="5" spans="1:14" x14ac:dyDescent="0.2">
      <c r="A5" s="16" t="s">
        <v>27</v>
      </c>
      <c r="B5" s="14">
        <v>0.255</v>
      </c>
      <c r="C5" s="7">
        <v>390</v>
      </c>
      <c r="D5" s="8">
        <f t="shared" si="2"/>
        <v>0.99067599067599066</v>
      </c>
      <c r="E5" s="9">
        <v>1</v>
      </c>
      <c r="F5" s="8">
        <f t="shared" si="3"/>
        <v>0.99067599067599066</v>
      </c>
      <c r="G5" s="7">
        <v>36</v>
      </c>
      <c r="H5" s="10">
        <f>G8</f>
        <v>190</v>
      </c>
      <c r="I5" s="11">
        <f t="shared" si="0"/>
        <v>0.18947368421052632</v>
      </c>
      <c r="J5" s="12">
        <f t="shared" si="4"/>
        <v>2.9836086687306507</v>
      </c>
      <c r="K5" s="15">
        <v>2</v>
      </c>
      <c r="L5" s="7">
        <v>20</v>
      </c>
      <c r="M5" s="7">
        <f t="shared" si="1"/>
        <v>0.5</v>
      </c>
      <c r="N5" s="7">
        <v>0.78</v>
      </c>
    </row>
    <row r="6" spans="1:14" x14ac:dyDescent="0.2">
      <c r="A6" s="16" t="s">
        <v>28</v>
      </c>
      <c r="B6" s="14">
        <v>0.496</v>
      </c>
      <c r="C6" s="7">
        <v>390</v>
      </c>
      <c r="D6" s="8">
        <f t="shared" si="2"/>
        <v>1.9269619269619269</v>
      </c>
      <c r="E6" s="9">
        <v>1</v>
      </c>
      <c r="F6" s="8">
        <f t="shared" si="3"/>
        <v>1.9269619269619269</v>
      </c>
      <c r="G6" s="7">
        <v>22</v>
      </c>
      <c r="H6" s="10">
        <f>G8</f>
        <v>190</v>
      </c>
      <c r="I6" s="11">
        <f t="shared" si="0"/>
        <v>0.11578947368421053</v>
      </c>
      <c r="J6" s="12">
        <f t="shared" si="4"/>
        <v>2.3434762308998303</v>
      </c>
      <c r="K6" s="15">
        <v>5</v>
      </c>
      <c r="L6" s="7">
        <v>20</v>
      </c>
      <c r="M6" s="7">
        <f t="shared" si="1"/>
        <v>0.5</v>
      </c>
      <c r="N6" s="7">
        <v>0.78</v>
      </c>
    </row>
    <row r="7" spans="1:14" x14ac:dyDescent="0.2">
      <c r="A7" s="17" t="s">
        <v>15</v>
      </c>
      <c r="B7" s="18"/>
      <c r="C7" s="18"/>
      <c r="D7" s="9"/>
      <c r="E7" s="18">
        <v>1</v>
      </c>
      <c r="F7" s="19">
        <v>1</v>
      </c>
      <c r="G7" s="33">
        <v>60</v>
      </c>
      <c r="H7" s="10">
        <f>G8</f>
        <v>190</v>
      </c>
      <c r="I7" s="11">
        <f t="shared" si="0"/>
        <v>0.31578947368421051</v>
      </c>
      <c r="J7" s="12">
        <f t="shared" si="4"/>
        <v>2.4631578947368422</v>
      </c>
      <c r="K7" s="20">
        <v>1</v>
      </c>
      <c r="L7" s="7">
        <v>20</v>
      </c>
      <c r="M7" s="7">
        <f t="shared" si="1"/>
        <v>0.5</v>
      </c>
      <c r="N7" s="7">
        <v>0.78</v>
      </c>
    </row>
    <row r="8" spans="1:14" x14ac:dyDescent="0.2">
      <c r="A8" s="21"/>
      <c r="B8" s="21"/>
      <c r="C8" s="21"/>
      <c r="D8" s="21"/>
      <c r="E8" s="21"/>
      <c r="F8" s="21"/>
      <c r="G8" s="22">
        <f>SUM(G3:G7)</f>
        <v>190</v>
      </c>
      <c r="H8" s="21"/>
      <c r="I8" s="23">
        <f>SUM(I3:I7)</f>
        <v>1</v>
      </c>
      <c r="J8" s="24">
        <f>SUM(J3:J7)</f>
        <v>15.358402106683727</v>
      </c>
      <c r="K8" s="21"/>
      <c r="L8" s="25" t="s">
        <v>37</v>
      </c>
      <c r="M8" s="25"/>
      <c r="N8" s="25"/>
    </row>
    <row r="9" spans="1:14" x14ac:dyDescent="0.2">
      <c r="A9" s="32" t="s">
        <v>30</v>
      </c>
      <c r="B9" s="21"/>
      <c r="C9" s="21"/>
      <c r="D9" s="21"/>
      <c r="E9" s="21"/>
      <c r="F9" s="21"/>
      <c r="G9" s="21"/>
      <c r="H9" s="21"/>
      <c r="I9" s="21" t="s">
        <v>16</v>
      </c>
      <c r="J9" s="24">
        <f>L7-J8</f>
        <v>4.6415978933162734</v>
      </c>
      <c r="K9" s="21"/>
      <c r="L9" s="25"/>
      <c r="M9" s="25"/>
      <c r="N9" s="25"/>
    </row>
    <row r="10" spans="1:14" x14ac:dyDescent="0.2">
      <c r="A10" s="34" t="s">
        <v>35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4" x14ac:dyDescent="0.2">
      <c r="A11" s="26" t="s">
        <v>36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14" ht="18" x14ac:dyDescent="0.2">
      <c r="A12" s="27" t="s">
        <v>17</v>
      </c>
      <c r="F12" t="s">
        <v>38</v>
      </c>
      <c r="J12" s="35" t="s">
        <v>39</v>
      </c>
      <c r="K12" s="36"/>
      <c r="L12" s="36"/>
      <c r="M12" s="36"/>
    </row>
    <row r="13" spans="1:14" ht="18" x14ac:dyDescent="0.2">
      <c r="A13" s="28" t="s">
        <v>31</v>
      </c>
      <c r="F13" t="s">
        <v>29</v>
      </c>
      <c r="H13" s="21"/>
      <c r="J13" s="37" t="s">
        <v>18</v>
      </c>
      <c r="K13" s="36"/>
      <c r="L13" s="36"/>
      <c r="M13" s="36"/>
    </row>
    <row r="14" spans="1:14" ht="18" x14ac:dyDescent="0.2">
      <c r="A14" s="28" t="s">
        <v>32</v>
      </c>
      <c r="H14" s="21"/>
      <c r="J14" s="37" t="s">
        <v>19</v>
      </c>
      <c r="K14" s="36"/>
      <c r="L14" s="36"/>
      <c r="M14" s="36"/>
    </row>
    <row r="15" spans="1:14" ht="18" x14ac:dyDescent="0.2">
      <c r="A15" s="29" t="s">
        <v>33</v>
      </c>
      <c r="H15" s="21"/>
      <c r="J15" s="37" t="s">
        <v>20</v>
      </c>
      <c r="K15" s="36"/>
      <c r="L15" s="36"/>
      <c r="M15" s="36"/>
    </row>
    <row r="16" spans="1:14" ht="18" x14ac:dyDescent="0.2">
      <c r="A16" s="29" t="s">
        <v>34</v>
      </c>
      <c r="H16" s="30"/>
      <c r="J16" s="36"/>
      <c r="K16" s="36"/>
      <c r="L16" s="36"/>
      <c r="M16" s="36"/>
    </row>
    <row r="17" spans="1:23" ht="18" x14ac:dyDescent="0.2">
      <c r="A17" s="29" t="s">
        <v>21</v>
      </c>
    </row>
    <row r="18" spans="1:23" ht="51" x14ac:dyDescent="0.2">
      <c r="A18" s="29" t="s">
        <v>22</v>
      </c>
      <c r="Q18" s="2" t="s">
        <v>1</v>
      </c>
      <c r="R18" s="3" t="s">
        <v>2</v>
      </c>
      <c r="S18" s="4" t="s">
        <v>3</v>
      </c>
      <c r="T18" s="4" t="s">
        <v>4</v>
      </c>
      <c r="U18" s="4" t="s">
        <v>40</v>
      </c>
      <c r="V18" s="40" t="s">
        <v>41</v>
      </c>
      <c r="W18" s="40" t="s">
        <v>42</v>
      </c>
    </row>
    <row r="19" spans="1:23" ht="18" x14ac:dyDescent="0.2">
      <c r="A19" s="29" t="s">
        <v>23</v>
      </c>
      <c r="Q19" s="16" t="s">
        <v>25</v>
      </c>
      <c r="R19" s="6">
        <v>0.65200000000000002</v>
      </c>
      <c r="S19" s="7">
        <v>390</v>
      </c>
      <c r="T19" s="8">
        <f>(R19*10^6)/(660*S19)</f>
        <v>2.5330225330225331</v>
      </c>
      <c r="U19" s="7">
        <v>61</v>
      </c>
      <c r="V19">
        <f>10*(U19/U26)</f>
        <v>4.1780821917808222</v>
      </c>
      <c r="W19">
        <f>V19/T19</f>
        <v>1.6494453315404656</v>
      </c>
    </row>
    <row r="20" spans="1:23" ht="18" x14ac:dyDescent="0.2">
      <c r="A20" s="29" t="s">
        <v>24</v>
      </c>
      <c r="Q20" s="16" t="s">
        <v>26</v>
      </c>
      <c r="R20" s="14">
        <v>4.9200000000000001E-2</v>
      </c>
      <c r="S20" s="7">
        <v>390</v>
      </c>
      <c r="T20" s="8">
        <f t="shared" ref="T20:T22" si="5">(R20*10^6)/(660*S20)</f>
        <v>0.19114219114219114</v>
      </c>
      <c r="U20" s="7">
        <v>11</v>
      </c>
      <c r="V20">
        <f>10*(U20/U26)</f>
        <v>0.75342465753424648</v>
      </c>
      <c r="W20">
        <f t="shared" ref="W20:W24" si="6">V20/T20</f>
        <v>3.941697293685265</v>
      </c>
    </row>
    <row r="21" spans="1:23" x14ac:dyDescent="0.2">
      <c r="Q21" s="16" t="s">
        <v>27</v>
      </c>
      <c r="R21" s="14">
        <v>0.255</v>
      </c>
      <c r="S21" s="7">
        <v>390</v>
      </c>
      <c r="T21" s="8">
        <f t="shared" si="5"/>
        <v>0.99067599067599066</v>
      </c>
      <c r="U21" s="7">
        <v>36</v>
      </c>
      <c r="V21">
        <f>10*(U21/U26)</f>
        <v>2.4657534246575343</v>
      </c>
      <c r="W21">
        <f t="shared" si="6"/>
        <v>2.4889605157131345</v>
      </c>
    </row>
    <row r="22" spans="1:23" x14ac:dyDescent="0.2">
      <c r="Q22" s="16" t="s">
        <v>28</v>
      </c>
      <c r="R22" s="14">
        <v>0.496</v>
      </c>
      <c r="S22" s="7">
        <v>390</v>
      </c>
      <c r="T22" s="8">
        <f t="shared" si="5"/>
        <v>1.9269619269619269</v>
      </c>
      <c r="U22" s="7">
        <v>22</v>
      </c>
      <c r="V22">
        <f>10*(U22/U26)</f>
        <v>1.506849315068493</v>
      </c>
      <c r="W22">
        <f t="shared" si="6"/>
        <v>0.78198188245691547</v>
      </c>
    </row>
    <row r="23" spans="1:23" x14ac:dyDescent="0.2">
      <c r="Q23" s="38" t="s">
        <v>44</v>
      </c>
      <c r="R23" s="39">
        <v>0.14799999999999999</v>
      </c>
      <c r="S23" s="7">
        <v>390</v>
      </c>
      <c r="T23" s="8">
        <f>(R23*10^6)/(660*S23)</f>
        <v>0.57498057498057498</v>
      </c>
      <c r="U23" s="9">
        <v>6</v>
      </c>
      <c r="V23">
        <f>10*(U23/U26)</f>
        <v>0.41095890410958902</v>
      </c>
      <c r="W23">
        <f>V23/T23</f>
        <v>0.71473528322843383</v>
      </c>
    </row>
    <row r="24" spans="1:23" x14ac:dyDescent="0.2">
      <c r="Q24" s="38" t="s">
        <v>45</v>
      </c>
      <c r="R24" s="39">
        <v>0.254</v>
      </c>
      <c r="S24" s="7">
        <v>390</v>
      </c>
      <c r="T24" s="8">
        <f t="shared" ref="T24" si="7">(R24*10^6)/(660*S24)</f>
        <v>0.98679098679098676</v>
      </c>
      <c r="U24" s="31">
        <v>10</v>
      </c>
      <c r="V24">
        <f>10*(U24/U26)</f>
        <v>0.68493150684931503</v>
      </c>
      <c r="W24">
        <f>V24/T24</f>
        <v>0.69409988135044765</v>
      </c>
    </row>
    <row r="25" spans="1:23" x14ac:dyDescent="0.2">
      <c r="Q25" s="38" t="s">
        <v>43</v>
      </c>
      <c r="T25">
        <v>5</v>
      </c>
      <c r="V25">
        <v>2.5</v>
      </c>
      <c r="W25">
        <f>V25/T25</f>
        <v>0.5</v>
      </c>
    </row>
    <row r="26" spans="1:23" x14ac:dyDescent="0.2">
      <c r="U26">
        <f>SUM(U19:U24)</f>
        <v>146</v>
      </c>
      <c r="V26">
        <f>SUM(V19:V24)</f>
        <v>10</v>
      </c>
      <c r="W26">
        <f>SUM(W19:W25)</f>
        <v>10.770920187974662</v>
      </c>
    </row>
  </sheetData>
  <conditionalFormatting sqref="J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2023-06-12T18:31:43Z</cp:lastPrinted>
  <dcterms:created xsi:type="dcterms:W3CDTF">2023-06-02T18:56:51Z</dcterms:created>
  <dcterms:modified xsi:type="dcterms:W3CDTF">2023-06-12T21:30:08Z</dcterms:modified>
</cp:coreProperties>
</file>